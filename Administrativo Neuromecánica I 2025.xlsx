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" sheetId="1" r:id="rId5"/>
    <sheet state="hidden" name="Grupos 1" sheetId="2" r:id="rId6"/>
    <sheet state="hidden" name="Grupos 2" sheetId="3" r:id="rId7"/>
    <sheet state="visible" name="Grupos" sheetId="4" r:id="rId8"/>
    <sheet state="visible" name="Asistencia" sheetId="5" r:id="rId9"/>
    <sheet state="visible" name="Prueba 1" sheetId="6" r:id="rId10"/>
    <sheet state="visible" name="Prueba 2" sheetId="7" r:id="rId11"/>
    <sheet state="visible" name="Controles" sheetId="8" r:id="rId12"/>
    <sheet state="visible" name="Tareas grupales" sheetId="9" r:id="rId13"/>
    <sheet state="visible" name="Examen" sheetId="10" r:id="rId14"/>
  </sheets>
  <definedNames>
    <definedName hidden="1" localSheetId="0" name="_xlnm._FilterDatabase">Lista!$A$1:$F$83</definedName>
    <definedName hidden="1" localSheetId="4" name="_xlnm._FilterDatabase">Asistencia!$A$1:$J$81</definedName>
    <definedName hidden="1" localSheetId="5" name="_xlnm._FilterDatabase">'Prueba 1'!$A$1:$H$81</definedName>
    <definedName hidden="1" localSheetId="6" name="_xlnm._FilterDatabase">'Prueba 2'!$A$1:$G$81</definedName>
    <definedName hidden="1" localSheetId="8" name="_xlnm._FilterDatabase">'Tareas grupales'!$A$1:$M$81</definedName>
    <definedName hidden="1" localSheetId="9" name="_xlnm._FilterDatabase">Examen!$A$1:$J$81</definedName>
  </definedNames>
  <calcPr/>
</workbook>
</file>

<file path=xl/sharedStrings.xml><?xml version="1.0" encoding="utf-8"?>
<sst xmlns="http://schemas.openxmlformats.org/spreadsheetml/2006/main" count="1971" uniqueCount="313">
  <si>
    <t>RUT</t>
  </si>
  <si>
    <t>IDENTIFICACIÓN</t>
  </si>
  <si>
    <t>SECCIÓN BANNER</t>
  </si>
  <si>
    <t>SECCIÓN</t>
  </si>
  <si>
    <t>GRUPO</t>
  </si>
  <si>
    <t>MAIL UANDES</t>
  </si>
  <si>
    <t>21222465-0</t>
  </si>
  <si>
    <t>BASULTO/PEREIRA/VICENTE JOSE</t>
  </si>
  <si>
    <t>vjbasulto@miuandes.cl</t>
  </si>
  <si>
    <t>21952179-0</t>
  </si>
  <si>
    <t>BERGUÑO/ALVAREZ/ISABELA PAZ</t>
  </si>
  <si>
    <t>ipberguno@miuandes.cl</t>
  </si>
  <si>
    <t>21879129-8</t>
  </si>
  <si>
    <t>BOLOGNESI/AGUADO/LUCIANA</t>
  </si>
  <si>
    <t>lbolognesi@miuandes.cl</t>
  </si>
  <si>
    <t>21557420-2</t>
  </si>
  <si>
    <t>ENCINA/DONOSO/FLORENCIA ALMENDRA</t>
  </si>
  <si>
    <t>faencina@miuandes.cl</t>
  </si>
  <si>
    <t>21840694-7</t>
  </si>
  <si>
    <t>ESCOBAR/QUEZADA/VALENTINA PAZ</t>
  </si>
  <si>
    <t>vpescobar@miuandes.cl</t>
  </si>
  <si>
    <t>21268200-4</t>
  </si>
  <si>
    <t>GARCIA-HUIDOBRO/FUENZALIDA/SANTIAGO TOMAS</t>
  </si>
  <si>
    <t>stgarciahuidobro@miuandes.cl</t>
  </si>
  <si>
    <t>21833671-K</t>
  </si>
  <si>
    <t>GARCIA/OLIVA/JAVIERA IGNACIA</t>
  </si>
  <si>
    <t>jigarcia5@miuandes.cl</t>
  </si>
  <si>
    <t>22082471-3</t>
  </si>
  <si>
    <t>GIESLER/SOTO/EMILY THERESA</t>
  </si>
  <si>
    <t>etgiesler@miuandes.cl</t>
  </si>
  <si>
    <t>21769435-3</t>
  </si>
  <si>
    <t>GOMEZ/GONZALEZ/DOMINGA ANTONIA</t>
  </si>
  <si>
    <t>dagomez8@miuandes.cl</t>
  </si>
  <si>
    <t>21678275-5</t>
  </si>
  <si>
    <t>GONZALEZ/ALCERRECA/SOFIA TEODORA</t>
  </si>
  <si>
    <t>stgonzalez1@miuandes.cl</t>
  </si>
  <si>
    <t>21905344-4</t>
  </si>
  <si>
    <t>GORDON/GARCIA/MARIA JESUS</t>
  </si>
  <si>
    <t>mjgordon@miuandes.cl</t>
  </si>
  <si>
    <t>21845775-4</t>
  </si>
  <si>
    <t>JIMENEZ/ANDREU/VICTORIA PAZ</t>
  </si>
  <si>
    <t>vpjimenez@miuandes.cl</t>
  </si>
  <si>
    <t>21611454-K</t>
  </si>
  <si>
    <t>LOPEZ/RETAMAL/JOSEFINA ESPERANZA</t>
  </si>
  <si>
    <t>jelopez1@miuandes.cl</t>
  </si>
  <si>
    <t>21713214-2</t>
  </si>
  <si>
    <t>LOPEZ/THAYER/GABRIEL AMAI</t>
  </si>
  <si>
    <t>galopez3@miuandes.cl</t>
  </si>
  <si>
    <t>21760460-5</t>
  </si>
  <si>
    <t>MALDONADO/ARCE/SOFIA ANTONIA</t>
  </si>
  <si>
    <t>samaldonado@miuandes.cl</t>
  </si>
  <si>
    <t>21833415-6</t>
  </si>
  <si>
    <t>MARTINEZ/AGUILAR/SEBASTIAN PABLO</t>
  </si>
  <si>
    <t>spmartinez@miuandes.cl</t>
  </si>
  <si>
    <t>21940672-K</t>
  </si>
  <si>
    <t>MATURANA/FUENTES/ALEX DANIEL</t>
  </si>
  <si>
    <t>admaturana@miuandes.cl</t>
  </si>
  <si>
    <t>21503007-5</t>
  </si>
  <si>
    <t>MIRANDA/MITCHEL/PABLO SEBASTIAN</t>
  </si>
  <si>
    <t>psmiranda@miuandes.cl</t>
  </si>
  <si>
    <t>21908752-7</t>
  </si>
  <si>
    <t>MORAGA/CASTRO/CRISTIAN EDUARDO</t>
  </si>
  <si>
    <t>cemoraga@miuandes.cl</t>
  </si>
  <si>
    <t>21634848-6</t>
  </si>
  <si>
    <t>MORALES/KULM/MARTINA ANDREA</t>
  </si>
  <si>
    <t>mamorales5@miuandes.cl</t>
  </si>
  <si>
    <t>21182124-8</t>
  </si>
  <si>
    <t>MOYA/CERDA/JAVIERA PAZ</t>
  </si>
  <si>
    <t>jpmoya@miuandes.cl</t>
  </si>
  <si>
    <t>20807332-K</t>
  </si>
  <si>
    <t>MUNRO/LASO/ISIDORA .</t>
  </si>
  <si>
    <t>i.munro@miuandes.cl</t>
  </si>
  <si>
    <t>22144401-9</t>
  </si>
  <si>
    <t>NUÑEZ/ROMERO/VICENTE ANDRES</t>
  </si>
  <si>
    <t>vanunez@miuandes.cl</t>
  </si>
  <si>
    <t>21716504-0</t>
  </si>
  <si>
    <t>ORELLANA/CACHICH/ALBERTO ISA</t>
  </si>
  <si>
    <t>aiorellana1@miuandes.cl</t>
  </si>
  <si>
    <t>21183322-K</t>
  </si>
  <si>
    <t>PASCUAL /VARAS/CRISTINA ANDREA</t>
  </si>
  <si>
    <t>capascual@miuandes.cl</t>
  </si>
  <si>
    <t>21183019-0</t>
  </si>
  <si>
    <t>PEREZ/ESPINOZA/IGNACIA JOSEFINA</t>
  </si>
  <si>
    <t>ijperez@miuandes.cl</t>
  </si>
  <si>
    <t>21253286-K</t>
  </si>
  <si>
    <t>PICO/CASTRO/SIMONE PAZ</t>
  </si>
  <si>
    <t>sppico@miuandes.cl</t>
  </si>
  <si>
    <t>26418342-1</t>
  </si>
  <si>
    <t>RAMOS/NIÑO/ADRIAN MAURICIO</t>
  </si>
  <si>
    <t>amramos@miuandes.cl</t>
  </si>
  <si>
    <t>21323382-3</t>
  </si>
  <si>
    <t>RATTO/ESCOBAR/JAVIER BENJAMIN</t>
  </si>
  <si>
    <t>jbratto@miuandes.cl</t>
  </si>
  <si>
    <t>21182328-3</t>
  </si>
  <si>
    <t>REBOLLEDO/TOMICIC/AGUSTINA ELVIRA</t>
  </si>
  <si>
    <t>aerebolledo@miuandes.cl</t>
  </si>
  <si>
    <t>21763037-1</t>
  </si>
  <si>
    <t>ROA/RUBILAR/FRANCISCO IGNACIO</t>
  </si>
  <si>
    <t>firoa@miuandes.cl</t>
  </si>
  <si>
    <t>21182660-6</t>
  </si>
  <si>
    <t>SAHADY/MOLINA/FERNANDO JAVIER</t>
  </si>
  <si>
    <t>fjsahady@miuandes.cl</t>
  </si>
  <si>
    <t>21430916-5</t>
  </si>
  <si>
    <t>SCHNEIDER/RUIZ DE VIÑASPRE/CATALINA URSULA</t>
  </si>
  <si>
    <t>cuschneider@miuandes.cl</t>
  </si>
  <si>
    <t>21748601-7</t>
  </si>
  <si>
    <t>SCHURCH/ZEINER/ALINE</t>
  </si>
  <si>
    <t>aschurch@miuandes.cl</t>
  </si>
  <si>
    <t>21478962-0</t>
  </si>
  <si>
    <t>SEPULVEDA/HERNANDEZ/LAURA ALEJANDRA</t>
  </si>
  <si>
    <t>lasepulveda3@miuandes.cl</t>
  </si>
  <si>
    <t>21885336-6</t>
  </si>
  <si>
    <t>SIMONET/BUSTOS/MARTINA SOFIA</t>
  </si>
  <si>
    <t>mssimonet@miuandes.cl</t>
  </si>
  <si>
    <t>21450814-1</t>
  </si>
  <si>
    <t>SISTEK/CHELLEW/BENITO</t>
  </si>
  <si>
    <t>bsistek@miuandes.cl</t>
  </si>
  <si>
    <t>21836303-2</t>
  </si>
  <si>
    <t>SOTO/LOBOS/RENATA IGNACIA</t>
  </si>
  <si>
    <t>risoto1@miuandes.cl</t>
  </si>
  <si>
    <t>21649098-3</t>
  </si>
  <si>
    <t>STONE/MURUA/VALENTINA IGNACIA</t>
  </si>
  <si>
    <t>vistone@miuandes.cl</t>
  </si>
  <si>
    <t>21846261-8</t>
  </si>
  <si>
    <t>STUARDO/FOURCADE/MARTINA NICOLE</t>
  </si>
  <si>
    <t>mnstuardo@miuandes.cl</t>
  </si>
  <si>
    <t>21640490-4</t>
  </si>
  <si>
    <t>TAIBE/DONOSO/PAULA ANTONIA</t>
  </si>
  <si>
    <t>pataibe@miuandes.cl</t>
  </si>
  <si>
    <t>21839363-2</t>
  </si>
  <si>
    <t>URETA/PAVEZ/MARIA JOSE</t>
  </si>
  <si>
    <t>mjureta@miuandes.cl</t>
  </si>
  <si>
    <t>21822834-8</t>
  </si>
  <si>
    <t>VEGA/SUAREZ/PAZ ANTONIA</t>
  </si>
  <si>
    <t>pavega4@miuandes.cl</t>
  </si>
  <si>
    <t>21043404-6</t>
  </si>
  <si>
    <t>ANGELLOTTI/MARTINEZ/RAIMUNDO TOMAS</t>
  </si>
  <si>
    <t>rtangellotti@miuandes.cl</t>
  </si>
  <si>
    <t>21708911-5</t>
  </si>
  <si>
    <t>BENITEZ/RAMIREZ/JOAQUIN IGNACIO</t>
  </si>
  <si>
    <t>jibenitez@miuandes.cl</t>
  </si>
  <si>
    <t>21792244-5</t>
  </si>
  <si>
    <t>BIZE/HENRIQUEZ/CRISTOBAL IGNACIO</t>
  </si>
  <si>
    <t>cibize@miuandes.cl</t>
  </si>
  <si>
    <t>21566004-4</t>
  </si>
  <si>
    <t>BRIONES/MEZA/DIEGO ANTONIO</t>
  </si>
  <si>
    <t>dabriones@miuandes.cl</t>
  </si>
  <si>
    <t>21896364-1</t>
  </si>
  <si>
    <t>BUSTAMANTE/CARTAGENA/VANESSA EMILIA</t>
  </si>
  <si>
    <t>vebustamante@miuandes.cl</t>
  </si>
  <si>
    <t>21149692-4</t>
  </si>
  <si>
    <t>CAÑETE/OCAMPO/ROSARIO PAZ</t>
  </si>
  <si>
    <t>rpcanete@miuandes.cl</t>
  </si>
  <si>
    <t>22030122-2</t>
  </si>
  <si>
    <t>CARO/TRONCOSO/MARTINA LORETO</t>
  </si>
  <si>
    <t>mlcaro@miuandes.cl</t>
  </si>
  <si>
    <t>21840696-3</t>
  </si>
  <si>
    <t>CHADE/ARIAS/MARIO EDUARDO</t>
  </si>
  <si>
    <t>mechade@miuandes.cl</t>
  </si>
  <si>
    <t>21559935-3</t>
  </si>
  <si>
    <t>DIAZ/ALLAIN/PABLO ANDRES</t>
  </si>
  <si>
    <t>padiaz7@miuandes.cl</t>
  </si>
  <si>
    <t>21988754-K</t>
  </si>
  <si>
    <t>DIAZ/FORNI/FERNANDA JESUS</t>
  </si>
  <si>
    <t>fjdiaz4@miuandes.cl</t>
  </si>
  <si>
    <t>22046076-2</t>
  </si>
  <si>
    <t>DIEZ/MORENO/MAGDALENA ISABEL</t>
  </si>
  <si>
    <t>midiez@miuandes.cl</t>
  </si>
  <si>
    <t>21893593-1</t>
  </si>
  <si>
    <t>GARRIGA/ARGANDOÑA/BENJAMIN IAIR</t>
  </si>
  <si>
    <t>bigarriga@miuandes.cl</t>
  </si>
  <si>
    <t>21865263-8</t>
  </si>
  <si>
    <t>HENRIQUEZ/NAWRATH/KALA</t>
  </si>
  <si>
    <t>khenriquez@miuandes.cl</t>
  </si>
  <si>
    <t>21816695-4</t>
  </si>
  <si>
    <t>HERRERA/PADILLA/LAURA ISABEL</t>
  </si>
  <si>
    <t>liherrera1@miuandes.cl</t>
  </si>
  <si>
    <t>22011859-2</t>
  </si>
  <si>
    <t>HOWARD/PEREZ/CRISTOBAL ANDRES</t>
  </si>
  <si>
    <t>caperez24@miuandes.cl</t>
  </si>
  <si>
    <t>21624852-K</t>
  </si>
  <si>
    <t>IZQUIERDO/MONTES/RAFAEL IGNACIO</t>
  </si>
  <si>
    <t>riizquierdo@miuandes.cl</t>
  </si>
  <si>
    <t>21678194-5</t>
  </si>
  <si>
    <t>JULLIAN/EYZAGUIRRE/BARBARA</t>
  </si>
  <si>
    <t>bjullian@miuandes.cl</t>
  </si>
  <si>
    <t>21853700-6</t>
  </si>
  <si>
    <t>LATORRE/AHUMADA/JOSEFA</t>
  </si>
  <si>
    <t>j.latorre@miuandes.cl</t>
  </si>
  <si>
    <t>21527204-4</t>
  </si>
  <si>
    <t>LAVIN/VALLEJOS/IGNACIA MARIA</t>
  </si>
  <si>
    <t>imlavin1@miuandes.cl</t>
  </si>
  <si>
    <t>21923918-1</t>
  </si>
  <si>
    <t>LIM/ARIAS/FLORENCIA AUGUSTA</t>
  </si>
  <si>
    <t>falim@miuandes.cl</t>
  </si>
  <si>
    <t>21926350-3</t>
  </si>
  <si>
    <t>MARTINEZ/LETELIER/PABLO</t>
  </si>
  <si>
    <t>pmartinez9@miuandes.cl</t>
  </si>
  <si>
    <t>21473332-3</t>
  </si>
  <si>
    <t>MILLACURA/VALENZUELA/BENJAMIN PABLO</t>
  </si>
  <si>
    <t>bpmillacura@miuandes.cl</t>
  </si>
  <si>
    <t>21895217-8</t>
  </si>
  <si>
    <t>MOYA/GALVEZ/VICENTE IGNACIO</t>
  </si>
  <si>
    <t>vimoya1@miuandes.cl</t>
  </si>
  <si>
    <t>21845572-7</t>
  </si>
  <si>
    <t>MUÑOZ/WILHELM/AMALIA ANDREA</t>
  </si>
  <si>
    <t>aamunoz@miuandes.cl</t>
  </si>
  <si>
    <t>21628713-4</t>
  </si>
  <si>
    <t>NORERO/RUBIO/AMANDA</t>
  </si>
  <si>
    <t>anorero@miuandes.cl</t>
  </si>
  <si>
    <t>21384044-4</t>
  </si>
  <si>
    <t>OLIVARES/PROTOPSALTIS/MANUEL NICOLAS</t>
  </si>
  <si>
    <t>mnolivares@miuandes.cl</t>
  </si>
  <si>
    <t>21770663-7</t>
  </si>
  <si>
    <t>PARETTI/CONTRERAS/ISABELLA EMILIA</t>
  </si>
  <si>
    <t>ieparetti@miuandes.cl</t>
  </si>
  <si>
    <t>21879193-K</t>
  </si>
  <si>
    <t>ROBESON/CARVALLO/MARIA</t>
  </si>
  <si>
    <t>m.robeson@miuandes.cl</t>
  </si>
  <si>
    <t>21495306-4</t>
  </si>
  <si>
    <t>RODRIGUEZ/CARREÑO/ANTONIA SOFIA</t>
  </si>
  <si>
    <t>asrodriguez1@miuandes.cl</t>
  </si>
  <si>
    <t>21720165-9</t>
  </si>
  <si>
    <t>ROJAS/MASSARDO/OSVALDO IGNACIO</t>
  </si>
  <si>
    <t>oirojas@miuandes.cl</t>
  </si>
  <si>
    <t>21575650-5</t>
  </si>
  <si>
    <t>SANTELICES/SAINZ/TOMAS FELIPE</t>
  </si>
  <si>
    <t>tfsantelices@miuandes.cl</t>
  </si>
  <si>
    <t>21566333-7</t>
  </si>
  <si>
    <t>SEMPREVIVO/GROHNERT/COLOMBA MACARENA</t>
  </si>
  <si>
    <t>cmsemprevivo@miuandes.cl</t>
  </si>
  <si>
    <t>21342412-2</t>
  </si>
  <si>
    <t>SILVA/ROJAS/DIEGO ALONSO</t>
  </si>
  <si>
    <t>dasilva1@miuandes.cl</t>
  </si>
  <si>
    <t>21567083-K</t>
  </si>
  <si>
    <t>SOTOMAYOR/MESTRE/SEBASTIAN IGNACIO</t>
  </si>
  <si>
    <t>sisotomayor@miuandes.cl</t>
  </si>
  <si>
    <t>21790252-5</t>
  </si>
  <si>
    <t>TORO/SEPULVEDA/JOSE EDUARDO</t>
  </si>
  <si>
    <t>jetoro2@miuandes.cl</t>
  </si>
  <si>
    <t>20923529-3</t>
  </si>
  <si>
    <t>WILSON/GREZ/ANWAR CRISTOBAL</t>
  </si>
  <si>
    <t>acwilson@miuandes.cl</t>
  </si>
  <si>
    <t>21717140-7</t>
  </si>
  <si>
    <t>WOODYATT/ULRIKSEN/MARIA MARTINA</t>
  </si>
  <si>
    <t>mmwoodyatt@miuandes.cl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</si>
  <si>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</si>
  <si>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</si>
  <si>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</si>
  <si>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</si>
  <si>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</si>
  <si>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</si>
  <si>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</si>
  <si>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</si>
  <si>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</si>
  <si>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</si>
  <si>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MORAGA/PORTILLA/MARCO ANTONIO</t>
  </si>
  <si>
    <t>ANTUNOVIC/VASQUEZ/MARTINA ESTEFANIA</t>
  </si>
  <si>
    <t>SILVA/BUSSENIUS/LUIS FELIPE</t>
  </si>
  <si>
    <t>ARAYA /RIVERA/SEBASTIAN ANDREE</t>
  </si>
  <si>
    <t>SECCIÓN 1</t>
  </si>
  <si>
    <t xml:space="preserve">SECCIÓN 2 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</si>
  <si>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</si>
  <si>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</si>
  <si>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</si>
  <si>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</si>
  <si>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</si>
  <si>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</si>
  <si>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</si>
  <si>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</si>
  <si>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</si>
  <si>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</si>
  <si>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SECCION</t>
  </si>
  <si>
    <t>TALLER 1</t>
  </si>
  <si>
    <t>TALLER 2</t>
  </si>
  <si>
    <t>TALLER 3</t>
  </si>
  <si>
    <t>TALLER 4</t>
  </si>
  <si>
    <t>LAB 1</t>
  </si>
  <si>
    <t>% ASISTENCIA</t>
  </si>
  <si>
    <t>x</t>
  </si>
  <si>
    <t>J</t>
  </si>
  <si>
    <t>I</t>
  </si>
  <si>
    <t>ALTERNATIVAS</t>
  </si>
  <si>
    <t>DESARROLLO</t>
  </si>
  <si>
    <t>Asistencia Jornada</t>
  </si>
  <si>
    <t>TOTAL</t>
  </si>
  <si>
    <t>NOTA</t>
  </si>
  <si>
    <t>Puntaje ideal</t>
  </si>
  <si>
    <t>Puntaje real</t>
  </si>
  <si>
    <t>Puntaje final</t>
  </si>
  <si>
    <t>PEREZ/HOWARD/CRISTOBAL ANDRES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</si>
  <si>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</si>
  <si>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</si>
  <si>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</si>
  <si>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</si>
  <si>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</si>
  <si>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</si>
  <si>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</si>
  <si>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</si>
  <si>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</si>
  <si>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</si>
  <si>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PROMEDIO</t>
  </si>
  <si>
    <t xml:space="preserve">SECCIÓN 1 </t>
  </si>
  <si>
    <t>SECCIÓN 2</t>
  </si>
  <si>
    <t>TAREA 1</t>
  </si>
  <si>
    <t>TAREA 2</t>
  </si>
  <si>
    <t>TAREA 3</t>
  </si>
  <si>
    <t>TAREA 4</t>
  </si>
  <si>
    <t>TAREA 5</t>
  </si>
  <si>
    <t>PROMEDIO
BRUTO</t>
  </si>
  <si>
    <t>EV. PAR</t>
  </si>
  <si>
    <t>CASTIGO</t>
  </si>
  <si>
    <t>PROMEDIO
AJUSTADO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</si>
</sst>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#,##0.0"/>
    <numFmt numFmtId="166" formatCode="dd.mm"/>
    <numFmt numFmtId="167" formatCode="d.m"/>
  </numFmts>
  <fonts count="17">
    <font>
      <sz val="11.0"/>
      <color rgb="FF000000"/>
      <name val="Calibri"/>
      <scheme val="minor"/>
    </font>
    <font>
      <b/>
      <sz val="10.0"/>
      <color rgb="FFA20000"/>
      <name val="Arial"/>
    </font>
    <font>
      <sz val="10.0"/>
      <color theme="1"/>
      <name val="Arial"/>
    </font>
    <font>
      <sz val="10.0"/>
      <color rgb="FF000000"/>
      <name val="Arial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9.0"/>
      <color rgb="FFA20000"/>
      <name val="Arial"/>
    </font>
    <font>
      <sz val="11.0"/>
      <color rgb="FF0000FF"/>
      <name val="Calibri"/>
    </font>
    <font>
      <sz val="11.0"/>
      <color rgb="FF000000"/>
      <name val="Calibri"/>
    </font>
    <font>
      <color rgb="FF000000"/>
      <name val="Calibri"/>
      <scheme val="minor"/>
    </font>
    <font>
      <color rgb="FF9900FF"/>
      <name val="Calibri"/>
      <scheme val="minor"/>
    </font>
    <font>
      <color rgb="FFFF0000"/>
      <name val="Calibri"/>
      <scheme val="minor"/>
    </font>
    <font>
      <sz val="11.0"/>
      <color rgb="FFFF0000"/>
      <name val="Calibri"/>
    </font>
    <font>
      <color rgb="FF0000FF"/>
      <name val="Calibri"/>
      <scheme val="minor"/>
    </font>
    <font>
      <b/>
      <sz val="10.0"/>
      <color theme="1"/>
      <name val="Arial"/>
    </font>
    <font>
      <b/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0DBD2"/>
        <bgColor rgb="FFE0DBD2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9">
    <border/>
    <border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1" shrinkToFit="0" vertical="top" wrapText="1"/>
    </xf>
    <xf borderId="0" fillId="0" fontId="1" numFmtId="0" xfId="0" applyAlignment="1" applyFont="1">
      <alignment horizontal="left" readingOrder="1" shrinkToFit="0" vertical="top" wrapText="1"/>
    </xf>
    <xf borderId="0" fillId="0" fontId="1" numFmtId="0" xfId="0" applyAlignment="1" applyFont="1">
      <alignment horizontal="center" readingOrder="1" shrinkToFit="0" vertical="top" wrapText="1"/>
    </xf>
    <xf borderId="0" fillId="0" fontId="1" numFmtId="0" xfId="0" applyAlignment="1" applyFont="1">
      <alignment horizontal="center" readingOrder="1" shrinkToFit="0" vertical="top" wrapText="1"/>
    </xf>
    <xf borderId="0" fillId="0" fontId="2" numFmtId="0" xfId="0" applyFont="1"/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 vertical="top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1" fillId="0" fontId="5" numFmtId="0" xfId="0" applyAlignment="1" applyBorder="1" applyFont="1">
      <alignment horizontal="center"/>
    </xf>
    <xf borderId="0" fillId="0" fontId="5" numFmtId="0" xfId="0" applyFont="1"/>
    <xf borderId="1" fillId="0" fontId="4" numFmtId="0" xfId="0" applyBorder="1" applyFont="1"/>
    <xf borderId="0" fillId="0" fontId="5" numFmtId="0" xfId="0" applyAlignment="1" applyFont="1">
      <alignment horizontal="center"/>
    </xf>
    <xf borderId="0" fillId="0" fontId="5" numFmtId="0" xfId="0" applyAlignment="1" applyFont="1">
      <alignment readingOrder="0"/>
    </xf>
    <xf borderId="2" fillId="0" fontId="5" numFmtId="0" xfId="0" applyBorder="1" applyFont="1"/>
    <xf borderId="3" fillId="0" fontId="3" numFmtId="0" xfId="0" applyAlignment="1" applyBorder="1" applyFont="1">
      <alignment readingOrder="0" shrinkToFit="0" vertical="top" wrapText="1"/>
    </xf>
    <xf borderId="3" fillId="0" fontId="5" numFmtId="0" xfId="0" applyAlignment="1" applyBorder="1" applyFont="1">
      <alignment readingOrder="0"/>
    </xf>
    <xf borderId="4" fillId="0" fontId="5" numFmtId="0" xfId="0" applyBorder="1" applyFont="1"/>
    <xf borderId="5" fillId="0" fontId="3" numFmtId="0" xfId="0" applyAlignment="1" applyBorder="1" applyFont="1">
      <alignment readingOrder="0" shrinkToFit="0" vertical="top" wrapText="1"/>
    </xf>
    <xf borderId="5" fillId="0" fontId="5" numFmtId="0" xfId="0" applyBorder="1" applyFont="1"/>
    <xf borderId="6" fillId="0" fontId="5" numFmtId="0" xfId="0" applyBorder="1" applyFont="1"/>
    <xf borderId="7" fillId="0" fontId="3" numFmtId="0" xfId="0" applyAlignment="1" applyBorder="1" applyFont="1">
      <alignment readingOrder="0" vertical="bottom"/>
    </xf>
    <xf borderId="7" fillId="0" fontId="5" numFmtId="0" xfId="0" applyBorder="1" applyFont="1"/>
    <xf borderId="7" fillId="0" fontId="3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horizontal="left" readingOrder="1" shrinkToFit="0" vertical="top" wrapText="1"/>
    </xf>
    <xf borderId="3" fillId="0" fontId="5" numFmtId="0" xfId="0" applyBorder="1" applyFont="1"/>
    <xf borderId="2" fillId="0" fontId="5" numFmtId="0" xfId="0" applyAlignment="1" applyBorder="1" applyFont="1">
      <alignment readingOrder="0"/>
    </xf>
    <xf borderId="0" fillId="0" fontId="6" numFmtId="0" xfId="0" applyFont="1"/>
    <xf borderId="7" fillId="0" fontId="3" numFmtId="0" xfId="0" applyAlignment="1" applyBorder="1" applyFont="1">
      <alignment readingOrder="0" shrinkToFit="0" vertical="top" wrapText="1"/>
    </xf>
    <xf borderId="8" fillId="2" fontId="7" numFmtId="0" xfId="0" applyAlignment="1" applyBorder="1" applyFill="1" applyFont="1">
      <alignment horizontal="center" readingOrder="1" shrinkToFit="0" vertical="center" wrapText="1"/>
    </xf>
    <xf borderId="8" fillId="2" fontId="7" numFmtId="0" xfId="0" applyAlignment="1" applyBorder="1" applyFont="1">
      <alignment horizontal="center" readingOrder="1" shrinkToFit="0" vertical="center" wrapText="1"/>
    </xf>
    <xf borderId="0" fillId="2" fontId="1" numFmtId="9" xfId="0" applyAlignment="1" applyFont="1" applyNumberFormat="1">
      <alignment horizontal="center" readingOrder="1" shrinkToFit="0" vertical="center" wrapText="1"/>
    </xf>
    <xf borderId="0" fillId="0" fontId="4" numFmtId="0" xfId="0" applyAlignment="1" applyFont="1">
      <alignment horizontal="center" readingOrder="0" vertical="center"/>
    </xf>
    <xf borderId="0" fillId="0" fontId="4" numFmtId="9" xfId="0" applyAlignment="1" applyFont="1" applyNumberFormat="1">
      <alignment horizontal="center" readingOrder="0" vertical="center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center" vertical="bottom"/>
    </xf>
    <xf borderId="0" fillId="0" fontId="5" numFmtId="164" xfId="0" applyAlignment="1" applyFont="1" applyNumberForma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center" readingOrder="0" vertical="bottom"/>
    </xf>
    <xf borderId="0" fillId="3" fontId="5" numFmtId="164" xfId="0" applyAlignment="1" applyFill="1" applyFont="1" applyNumberFormat="1">
      <alignment horizontal="center" vertical="bottom"/>
    </xf>
    <xf borderId="0" fillId="4" fontId="5" numFmtId="0" xfId="0" applyAlignment="1" applyFill="1" applyFont="1">
      <alignment horizontal="center" readingOrder="0" vertical="bottom"/>
    </xf>
    <xf borderId="0" fillId="4" fontId="5" numFmtId="0" xfId="0" applyAlignment="1" applyFont="1">
      <alignment horizontal="center" vertical="bottom"/>
    </xf>
    <xf borderId="0" fillId="4" fontId="5" numFmtId="164" xfId="0" applyAlignment="1" applyFont="1" applyNumberFormat="1">
      <alignment horizontal="center" readingOrder="0" vertical="bottom"/>
    </xf>
    <xf borderId="0" fillId="0" fontId="1" numFmtId="0" xfId="0" applyAlignment="1" applyFont="1">
      <alignment horizontal="left" readingOrder="1" shrinkToFit="0" vertical="center" wrapText="1"/>
    </xf>
    <xf borderId="0" fillId="0" fontId="1" numFmtId="0" xfId="0" applyAlignment="1" applyFont="1">
      <alignment horizontal="left" readingOrder="1" shrinkToFit="0" vertical="center" wrapText="1"/>
    </xf>
    <xf borderId="0" fillId="0" fontId="1" numFmtId="164" xfId="0" applyAlignment="1" applyFont="1" applyNumberFormat="1">
      <alignment horizontal="center" readingOrder="1" shrinkToFit="0" vertical="center" wrapText="1"/>
    </xf>
    <xf borderId="0" fillId="0" fontId="1" numFmtId="0" xfId="0" applyAlignment="1" applyFont="1">
      <alignment horizontal="center" readingOrder="1" shrinkToFit="0" vertical="center" wrapText="1"/>
    </xf>
    <xf borderId="0" fillId="0" fontId="1" numFmtId="165" xfId="0" applyAlignment="1" applyFont="1" applyNumberFormat="1">
      <alignment horizontal="center" readingOrder="1" shrinkToFit="0" vertical="center" wrapText="1"/>
    </xf>
    <xf borderId="0" fillId="4" fontId="1" numFmtId="0" xfId="0" applyAlignment="1" applyFont="1">
      <alignment horizontal="center" readingOrder="1" shrinkToFit="0" vertical="center" wrapText="1"/>
    </xf>
    <xf borderId="0" fillId="0" fontId="1" numFmtId="166" xfId="0" applyAlignment="1" applyFont="1" applyNumberFormat="1">
      <alignment horizontal="center" readingOrder="0" vertical="bottom"/>
    </xf>
    <xf borderId="0" fillId="4" fontId="1" numFmtId="166" xfId="0" applyAlignment="1" applyFont="1" applyNumberFormat="1">
      <alignment horizontal="center" readingOrder="0" vertical="bottom"/>
    </xf>
    <xf borderId="0" fillId="0" fontId="1" numFmtId="167" xfId="0" applyAlignment="1" applyFont="1" applyNumberFormat="1">
      <alignment horizontal="center" readingOrder="0" vertical="bottom"/>
    </xf>
    <xf borderId="0" fillId="0" fontId="4" numFmtId="165" xfId="0" applyAlignment="1" applyFont="1" applyNumberFormat="1">
      <alignment horizontal="center"/>
    </xf>
    <xf borderId="0" fillId="0" fontId="5" numFmtId="165" xfId="0" applyAlignment="1" applyFont="1" applyNumberFormat="1">
      <alignment horizontal="center" readingOrder="0" vertical="bottom"/>
    </xf>
    <xf borderId="0" fillId="4" fontId="5" numFmtId="165" xfId="0" applyAlignment="1" applyFont="1" applyNumberFormat="1">
      <alignment horizontal="center" readingOrder="0" vertical="bottom"/>
    </xf>
    <xf borderId="0" fillId="0" fontId="4" numFmtId="165" xfId="0" applyAlignment="1" applyFont="1" applyNumberFormat="1">
      <alignment horizontal="center" readingOrder="0"/>
    </xf>
    <xf borderId="0" fillId="0" fontId="8" numFmtId="165" xfId="0" applyAlignment="1" applyFont="1" applyNumberFormat="1">
      <alignment horizontal="center" readingOrder="0"/>
    </xf>
    <xf borderId="0" fillId="0" fontId="5" numFmtId="165" xfId="0" applyAlignment="1" applyFont="1" applyNumberFormat="1">
      <alignment horizontal="center" readingOrder="0"/>
    </xf>
    <xf borderId="0" fillId="0" fontId="9" numFmtId="0" xfId="0" applyAlignment="1" applyFont="1">
      <alignment horizontal="center" readingOrder="0" vertical="bottom"/>
    </xf>
    <xf borderId="0" fillId="0" fontId="9" numFmtId="165" xfId="0" applyAlignment="1" applyFont="1" applyNumberFormat="1">
      <alignment horizontal="center" readingOrder="0" vertical="bottom"/>
    </xf>
    <xf borderId="0" fillId="0" fontId="9" numFmtId="165" xfId="0" applyAlignment="1" applyFont="1" applyNumberFormat="1">
      <alignment horizontal="center" readingOrder="0"/>
    </xf>
    <xf borderId="0" fillId="0" fontId="10" numFmtId="165" xfId="0" applyAlignment="1" applyFont="1" applyNumberFormat="1">
      <alignment horizontal="center" readingOrder="0"/>
    </xf>
    <xf borderId="0" fillId="0" fontId="11" numFmtId="165" xfId="0" applyAlignment="1" applyFont="1" applyNumberFormat="1">
      <alignment horizontal="center"/>
    </xf>
    <xf borderId="0" fillId="0" fontId="8" numFmtId="165" xfId="0" applyAlignment="1" applyFont="1" applyNumberFormat="1">
      <alignment horizontal="center" readingOrder="0" vertical="bottom"/>
    </xf>
    <xf borderId="0" fillId="4" fontId="5" numFmtId="165" xfId="0" applyAlignment="1" applyFont="1" applyNumberFormat="1">
      <alignment horizontal="center" readingOrder="0"/>
    </xf>
    <xf borderId="0" fillId="0" fontId="12" numFmtId="165" xfId="0" applyAlignment="1" applyFont="1" applyNumberFormat="1">
      <alignment horizontal="center" readingOrder="0"/>
    </xf>
    <xf borderId="0" fillId="0" fontId="13" numFmtId="165" xfId="0" applyAlignment="1" applyFont="1" applyNumberFormat="1">
      <alignment horizontal="center" readingOrder="0"/>
    </xf>
    <xf borderId="0" fillId="0" fontId="13" numFmtId="165" xfId="0" applyAlignment="1" applyFont="1" applyNumberFormat="1">
      <alignment horizontal="center" readingOrder="0" vertical="bottom"/>
    </xf>
    <xf borderId="0" fillId="0" fontId="14" numFmtId="165" xfId="0" applyAlignment="1" applyFont="1" applyNumberFormat="1">
      <alignment horizontal="center" readingOrder="0"/>
    </xf>
    <xf borderId="0" fillId="0" fontId="9" numFmtId="164" xfId="0" applyAlignment="1" applyFont="1" applyNumberFormat="1">
      <alignment horizontal="center" readingOrder="0" vertical="bottom"/>
    </xf>
    <xf borderId="0" fillId="0" fontId="8" numFmtId="164" xfId="0" applyAlignment="1" applyFont="1" applyNumberFormat="1">
      <alignment horizontal="center" readingOrder="0" vertical="bottom"/>
    </xf>
    <xf borderId="0" fillId="4" fontId="5" numFmtId="166" xfId="0" applyAlignment="1" applyFont="1" applyNumberFormat="1">
      <alignment horizontal="center" readingOrder="0" vertical="bottom"/>
    </xf>
    <xf borderId="0" fillId="0" fontId="1" numFmtId="0" xfId="0" applyAlignment="1" applyFont="1">
      <alignment horizontal="center" readingOrder="1" shrinkToFit="0" vertical="center" wrapText="1"/>
    </xf>
    <xf borderId="0" fillId="0" fontId="1" numFmtId="2" xfId="0" applyAlignment="1" applyFont="1" applyNumberFormat="1">
      <alignment horizontal="center" readingOrder="1" shrinkToFit="0" vertical="center" wrapText="1"/>
    </xf>
    <xf borderId="0" fillId="0" fontId="2" numFmtId="164" xfId="0" applyAlignment="1" applyFont="1" applyNumberFormat="1">
      <alignment horizontal="center" readingOrder="0" vertical="bottom"/>
    </xf>
    <xf borderId="0" fillId="0" fontId="2" numFmtId="164" xfId="0" applyAlignment="1" applyFont="1" applyNumberFormat="1">
      <alignment horizontal="center" readingOrder="0"/>
    </xf>
    <xf borderId="0" fillId="0" fontId="15" numFmtId="164" xfId="0" applyAlignment="1" applyFont="1" applyNumberFormat="1">
      <alignment horizontal="center" vertical="bottom"/>
    </xf>
    <xf borderId="0" fillId="0" fontId="9" numFmtId="0" xfId="0" applyAlignment="1" applyFont="1">
      <alignment horizontal="center" readingOrder="0" shrinkToFit="0" wrapText="0"/>
    </xf>
    <xf borderId="0" fillId="0" fontId="2" numFmtId="2" xfId="0" applyAlignment="1" applyFont="1" applyNumberFormat="1">
      <alignment horizontal="center" readingOrder="0" vertical="bottom"/>
    </xf>
    <xf borderId="0" fillId="0" fontId="16" numFmtId="164" xfId="0" applyAlignment="1" applyFont="1" applyNumberFormat="1">
      <alignment horizontal="center" readingOrder="0" shrinkToFit="0" vertical="bottom" wrapText="0"/>
    </xf>
    <xf borderId="0" fillId="0" fontId="9" numFmtId="164" xfId="0" applyAlignment="1" applyFont="1" applyNumberFormat="1">
      <alignment horizontal="center" readingOrder="0" shrinkToFit="0" wrapText="0"/>
    </xf>
    <xf borderId="0" fillId="4" fontId="5" numFmtId="164" xfId="0" applyAlignment="1" applyFont="1" applyNumberFormat="1">
      <alignment horizontal="center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5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57"/>
    <col customWidth="1" min="2" max="2" width="49.29"/>
    <col customWidth="1" hidden="1" min="3" max="3" width="12.71"/>
    <col customWidth="1" min="4" max="4" width="12.71"/>
    <col customWidth="1" min="5" max="5" width="11.0"/>
    <col customWidth="1" min="6" max="6" width="28.0"/>
    <col customWidth="1" min="7" max="22" width="10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1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>
      <c r="A2" s="6" t="s">
        <v>6</v>
      </c>
      <c r="B2" s="6" t="s">
        <v>7</v>
      </c>
      <c r="C2" s="7">
        <v>1.0</v>
      </c>
      <c r="D2" s="7">
        <v>1.0</v>
      </c>
      <c r="E2" s="7">
        <v>6.0</v>
      </c>
      <c r="F2" s="8" t="s">
        <v>8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>
      <c r="A3" s="6" t="s">
        <v>9</v>
      </c>
      <c r="B3" s="6" t="s">
        <v>10</v>
      </c>
      <c r="C3" s="7">
        <v>1.0</v>
      </c>
      <c r="D3" s="7">
        <v>1.0</v>
      </c>
      <c r="E3" s="7">
        <v>10.0</v>
      </c>
      <c r="F3" s="8" t="s">
        <v>11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>
      <c r="A4" s="6" t="s">
        <v>12</v>
      </c>
      <c r="B4" s="6" t="s">
        <v>13</v>
      </c>
      <c r="C4" s="7">
        <v>1.0</v>
      </c>
      <c r="D4" s="7">
        <v>1.0</v>
      </c>
      <c r="E4" s="7">
        <v>8.0</v>
      </c>
      <c r="F4" s="8" t="s">
        <v>14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>
      <c r="A5" s="6" t="s">
        <v>15</v>
      </c>
      <c r="B5" s="6" t="s">
        <v>16</v>
      </c>
      <c r="C5" s="7">
        <v>1.0</v>
      </c>
      <c r="D5" s="7">
        <v>1.0</v>
      </c>
      <c r="E5" s="7">
        <v>7.0</v>
      </c>
      <c r="F5" s="8" t="s">
        <v>17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>
      <c r="A6" s="6" t="s">
        <v>18</v>
      </c>
      <c r="B6" s="6" t="s">
        <v>19</v>
      </c>
      <c r="C6" s="7">
        <v>1.0</v>
      </c>
      <c r="D6" s="7">
        <v>1.0</v>
      </c>
      <c r="E6" s="7">
        <v>4.0</v>
      </c>
      <c r="F6" s="8" t="s">
        <v>20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>
      <c r="A7" s="6" t="s">
        <v>21</v>
      </c>
      <c r="B7" s="6" t="s">
        <v>22</v>
      </c>
      <c r="C7" s="7">
        <v>1.0</v>
      </c>
      <c r="D7" s="7">
        <v>1.0</v>
      </c>
      <c r="E7" s="7">
        <v>5.0</v>
      </c>
      <c r="F7" s="8" t="s">
        <v>23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>
      <c r="A8" s="6" t="s">
        <v>24</v>
      </c>
      <c r="B8" s="6" t="s">
        <v>25</v>
      </c>
      <c r="C8" s="7">
        <v>1.0</v>
      </c>
      <c r="D8" s="7">
        <v>1.0</v>
      </c>
      <c r="E8" s="7">
        <v>3.0</v>
      </c>
      <c r="F8" s="8" t="s">
        <v>26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>
      <c r="A9" s="6" t="s">
        <v>27</v>
      </c>
      <c r="B9" s="6" t="s">
        <v>28</v>
      </c>
      <c r="C9" s="7">
        <v>1.0</v>
      </c>
      <c r="D9" s="7">
        <v>1.0</v>
      </c>
      <c r="E9" s="7">
        <v>2.0</v>
      </c>
      <c r="F9" s="8" t="s">
        <v>29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>
      <c r="A10" s="6" t="s">
        <v>30</v>
      </c>
      <c r="B10" s="6" t="s">
        <v>31</v>
      </c>
      <c r="C10" s="7">
        <v>1.0</v>
      </c>
      <c r="D10" s="7">
        <v>1.0</v>
      </c>
      <c r="E10" s="7">
        <v>9.0</v>
      </c>
      <c r="F10" s="8" t="s">
        <v>32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>
      <c r="A11" s="6" t="s">
        <v>33</v>
      </c>
      <c r="B11" s="6" t="s">
        <v>34</v>
      </c>
      <c r="C11" s="7">
        <v>1.0</v>
      </c>
      <c r="D11" s="7">
        <v>1.0</v>
      </c>
      <c r="E11" s="7">
        <v>4.0</v>
      </c>
      <c r="F11" s="8" t="s">
        <v>35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>
      <c r="A12" s="6" t="s">
        <v>36</v>
      </c>
      <c r="B12" s="6" t="s">
        <v>37</v>
      </c>
      <c r="C12" s="7">
        <v>1.0</v>
      </c>
      <c r="D12" s="7">
        <v>1.0</v>
      </c>
      <c r="E12" s="7">
        <v>4.0</v>
      </c>
      <c r="F12" s="8" t="s">
        <v>38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>
      <c r="A13" s="6" t="s">
        <v>39</v>
      </c>
      <c r="B13" s="6" t="s">
        <v>40</v>
      </c>
      <c r="C13" s="7">
        <v>1.0</v>
      </c>
      <c r="D13" s="7">
        <v>1.0</v>
      </c>
      <c r="E13" s="7">
        <v>5.0</v>
      </c>
      <c r="F13" s="8" t="s">
        <v>41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>
      <c r="A14" s="6" t="s">
        <v>42</v>
      </c>
      <c r="B14" s="6" t="s">
        <v>43</v>
      </c>
      <c r="C14" s="7">
        <v>1.0</v>
      </c>
      <c r="D14" s="7">
        <v>1.0</v>
      </c>
      <c r="E14" s="7">
        <v>2.0</v>
      </c>
      <c r="F14" s="8" t="s">
        <v>44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>
      <c r="A15" s="6" t="s">
        <v>45</v>
      </c>
      <c r="B15" s="6" t="s">
        <v>46</v>
      </c>
      <c r="C15" s="7">
        <v>1.0</v>
      </c>
      <c r="D15" s="7">
        <v>1.0</v>
      </c>
      <c r="E15" s="7">
        <v>3.0</v>
      </c>
      <c r="F15" s="8" t="s">
        <v>47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>
      <c r="A16" s="6" t="s">
        <v>48</v>
      </c>
      <c r="B16" s="6" t="s">
        <v>49</v>
      </c>
      <c r="C16" s="7">
        <v>1.0</v>
      </c>
      <c r="D16" s="7">
        <v>1.0</v>
      </c>
      <c r="E16" s="7">
        <v>8.0</v>
      </c>
      <c r="F16" s="8" t="s">
        <v>50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>
      <c r="A17" s="6" t="s">
        <v>51</v>
      </c>
      <c r="B17" s="6" t="s">
        <v>52</v>
      </c>
      <c r="C17" s="7">
        <v>1.0</v>
      </c>
      <c r="D17" s="7">
        <v>1.0</v>
      </c>
      <c r="E17" s="7">
        <v>5.0</v>
      </c>
      <c r="F17" s="8" t="s">
        <v>53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>
      <c r="A18" s="6" t="s">
        <v>54</v>
      </c>
      <c r="B18" s="6" t="s">
        <v>55</v>
      </c>
      <c r="C18" s="7">
        <v>1.0</v>
      </c>
      <c r="D18" s="7">
        <v>1.0</v>
      </c>
      <c r="E18" s="7">
        <v>5.0</v>
      </c>
      <c r="F18" s="8" t="s">
        <v>56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>
      <c r="A19" s="6" t="s">
        <v>57</v>
      </c>
      <c r="B19" s="6" t="s">
        <v>58</v>
      </c>
      <c r="C19" s="7">
        <v>1.0</v>
      </c>
      <c r="D19" s="7">
        <v>1.0</v>
      </c>
      <c r="E19" s="7">
        <v>7.0</v>
      </c>
      <c r="F19" s="8" t="s">
        <v>59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>
      <c r="A20" s="6" t="s">
        <v>60</v>
      </c>
      <c r="B20" s="6" t="s">
        <v>61</v>
      </c>
      <c r="C20" s="7">
        <v>1.0</v>
      </c>
      <c r="D20" s="7">
        <v>1.0</v>
      </c>
      <c r="E20" s="7">
        <v>3.0</v>
      </c>
      <c r="F20" s="8" t="s">
        <v>62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ht="15.75" customHeight="1">
      <c r="A21" s="6" t="s">
        <v>63</v>
      </c>
      <c r="B21" s="6" t="s">
        <v>64</v>
      </c>
      <c r="C21" s="7">
        <v>1.0</v>
      </c>
      <c r="D21" s="7">
        <v>1.0</v>
      </c>
      <c r="E21" s="7">
        <v>1.0</v>
      </c>
      <c r="F21" s="8" t="s">
        <v>65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ht="15.75" customHeight="1">
      <c r="A22" s="6" t="s">
        <v>66</v>
      </c>
      <c r="B22" s="6" t="s">
        <v>67</v>
      </c>
      <c r="C22" s="7">
        <v>2.0</v>
      </c>
      <c r="D22" s="7">
        <v>1.0</v>
      </c>
      <c r="E22" s="7">
        <v>10.0</v>
      </c>
      <c r="F22" s="9" t="s">
        <v>68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ht="15.75" customHeight="1">
      <c r="A23" s="6" t="s">
        <v>69</v>
      </c>
      <c r="B23" s="6" t="s">
        <v>70</v>
      </c>
      <c r="C23" s="7">
        <v>1.0</v>
      </c>
      <c r="D23" s="7">
        <v>1.0</v>
      </c>
      <c r="E23" s="7">
        <v>1.0</v>
      </c>
      <c r="F23" s="8" t="s">
        <v>71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5.75" customHeight="1">
      <c r="A24" s="6" t="s">
        <v>72</v>
      </c>
      <c r="B24" s="6" t="s">
        <v>73</v>
      </c>
      <c r="C24" s="7">
        <v>1.0</v>
      </c>
      <c r="D24" s="7">
        <v>1.0</v>
      </c>
      <c r="E24" s="7">
        <v>7.0</v>
      </c>
      <c r="F24" s="8" t="s">
        <v>74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ht="15.75" customHeight="1">
      <c r="A25" s="6" t="s">
        <v>75</v>
      </c>
      <c r="B25" s="6" t="s">
        <v>76</v>
      </c>
      <c r="C25" s="7">
        <v>1.0</v>
      </c>
      <c r="D25" s="7">
        <v>1.0</v>
      </c>
      <c r="E25" s="7">
        <v>9.0</v>
      </c>
      <c r="F25" s="8" t="s">
        <v>77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ht="15.75" customHeight="1">
      <c r="A26" s="6" t="s">
        <v>78</v>
      </c>
      <c r="B26" s="6" t="s">
        <v>79</v>
      </c>
      <c r="C26" s="7">
        <v>1.0</v>
      </c>
      <c r="D26" s="7">
        <v>1.0</v>
      </c>
      <c r="E26" s="7">
        <v>3.0</v>
      </c>
      <c r="F26" s="8" t="s">
        <v>80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ht="15.75" customHeight="1">
      <c r="A27" s="6" t="s">
        <v>81</v>
      </c>
      <c r="B27" s="6" t="s">
        <v>82</v>
      </c>
      <c r="C27" s="7">
        <v>1.0</v>
      </c>
      <c r="D27" s="7">
        <v>1.0</v>
      </c>
      <c r="E27" s="7">
        <v>1.0</v>
      </c>
      <c r="F27" s="8" t="s">
        <v>83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ht="15.75" customHeight="1">
      <c r="A28" s="6" t="s">
        <v>84</v>
      </c>
      <c r="B28" s="6" t="s">
        <v>85</v>
      </c>
      <c r="C28" s="7">
        <v>1.0</v>
      </c>
      <c r="D28" s="7">
        <v>1.0</v>
      </c>
      <c r="E28" s="7">
        <v>2.0</v>
      </c>
      <c r="F28" s="8" t="s">
        <v>86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ht="15.75" customHeight="1">
      <c r="A29" s="6" t="s">
        <v>87</v>
      </c>
      <c r="B29" s="6" t="s">
        <v>88</v>
      </c>
      <c r="C29" s="7">
        <v>1.0</v>
      </c>
      <c r="D29" s="7">
        <v>1.0</v>
      </c>
      <c r="E29" s="7">
        <v>2.0</v>
      </c>
      <c r="F29" s="8" t="s">
        <v>89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ht="15.75" customHeight="1">
      <c r="A30" s="6" t="s">
        <v>90</v>
      </c>
      <c r="B30" s="6" t="s">
        <v>91</v>
      </c>
      <c r="C30" s="7">
        <v>1.0</v>
      </c>
      <c r="D30" s="7">
        <v>1.0</v>
      </c>
      <c r="E30" s="7">
        <v>6.0</v>
      </c>
      <c r="F30" s="8" t="s">
        <v>92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5.75" customHeight="1">
      <c r="A31" s="6" t="s">
        <v>93</v>
      </c>
      <c r="B31" s="6" t="s">
        <v>94</v>
      </c>
      <c r="C31" s="7">
        <v>1.0</v>
      </c>
      <c r="D31" s="7">
        <v>1.0</v>
      </c>
      <c r="E31" s="7">
        <v>6.0</v>
      </c>
      <c r="F31" s="8" t="s">
        <v>95</v>
      </c>
      <c r="G31" s="5"/>
      <c r="H31" s="9"/>
      <c r="I31" s="9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5.75" customHeight="1">
      <c r="A32" s="6" t="s">
        <v>96</v>
      </c>
      <c r="B32" s="6" t="s">
        <v>97</v>
      </c>
      <c r="C32" s="7">
        <v>1.0</v>
      </c>
      <c r="D32" s="7">
        <v>1.0</v>
      </c>
      <c r="E32" s="7">
        <v>8.0</v>
      </c>
      <c r="F32" s="8" t="s">
        <v>98</v>
      </c>
      <c r="G32" s="5"/>
      <c r="H32" s="9"/>
      <c r="I32" s="9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ht="15.75" customHeight="1">
      <c r="A33" s="6" t="s">
        <v>99</v>
      </c>
      <c r="B33" s="6" t="s">
        <v>100</v>
      </c>
      <c r="C33" s="7">
        <v>1.0</v>
      </c>
      <c r="D33" s="7">
        <v>1.0</v>
      </c>
      <c r="E33" s="7">
        <v>6.0</v>
      </c>
      <c r="F33" s="8" t="s">
        <v>101</v>
      </c>
      <c r="G33" s="5"/>
      <c r="H33" s="9"/>
      <c r="I33" s="9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ht="15.75" customHeight="1">
      <c r="A34" s="6" t="s">
        <v>102</v>
      </c>
      <c r="B34" s="6" t="s">
        <v>103</v>
      </c>
      <c r="C34" s="7">
        <v>1.0</v>
      </c>
      <c r="D34" s="7">
        <v>1.0</v>
      </c>
      <c r="E34" s="7">
        <v>7.0</v>
      </c>
      <c r="F34" s="8" t="s">
        <v>104</v>
      </c>
      <c r="G34" s="5"/>
      <c r="H34" s="9"/>
      <c r="I34" s="9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ht="15.75" customHeight="1">
      <c r="A35" s="6" t="s">
        <v>105</v>
      </c>
      <c r="B35" s="6" t="s">
        <v>106</v>
      </c>
      <c r="C35" s="7">
        <v>1.0</v>
      </c>
      <c r="D35" s="7">
        <v>1.0</v>
      </c>
      <c r="E35" s="7">
        <v>10.0</v>
      </c>
      <c r="F35" s="8" t="s">
        <v>107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ht="15.75" customHeight="1">
      <c r="A36" s="6" t="s">
        <v>108</v>
      </c>
      <c r="B36" s="6" t="s">
        <v>109</v>
      </c>
      <c r="C36" s="7">
        <v>1.0</v>
      </c>
      <c r="D36" s="7">
        <v>1.0</v>
      </c>
      <c r="E36" s="7">
        <v>1.0</v>
      </c>
      <c r="F36" s="8" t="s">
        <v>110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ht="15.75" customHeight="1">
      <c r="A37" s="6" t="s">
        <v>111</v>
      </c>
      <c r="B37" s="6" t="s">
        <v>112</v>
      </c>
      <c r="C37" s="7">
        <v>1.0</v>
      </c>
      <c r="D37" s="7">
        <v>1.0</v>
      </c>
      <c r="E37" s="7">
        <v>8.0</v>
      </c>
      <c r="F37" s="8" t="s">
        <v>113</v>
      </c>
      <c r="G37" s="5"/>
      <c r="H37" s="9"/>
      <c r="I37" s="9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ht="15.75" customHeight="1">
      <c r="A38" s="6" t="s">
        <v>114</v>
      </c>
      <c r="B38" s="6" t="s">
        <v>115</v>
      </c>
      <c r="C38" s="7">
        <v>1.0</v>
      </c>
      <c r="D38" s="7">
        <v>1.0</v>
      </c>
      <c r="E38" s="7">
        <v>10.0</v>
      </c>
      <c r="F38" s="8" t="s">
        <v>116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5.75" customHeight="1">
      <c r="A39" s="6" t="s">
        <v>117</v>
      </c>
      <c r="B39" s="6" t="s">
        <v>118</v>
      </c>
      <c r="C39" s="7">
        <v>1.0</v>
      </c>
      <c r="D39" s="7">
        <v>1.0</v>
      </c>
      <c r="E39" s="7">
        <v>9.0</v>
      </c>
      <c r="F39" s="8" t="s">
        <v>119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75" customHeight="1">
      <c r="A40" s="6" t="s">
        <v>120</v>
      </c>
      <c r="B40" s="6" t="s">
        <v>121</v>
      </c>
      <c r="C40" s="7">
        <v>1.0</v>
      </c>
      <c r="D40" s="7">
        <v>1.0</v>
      </c>
      <c r="E40" s="7">
        <v>1.0</v>
      </c>
      <c r="F40" s="9" t="s">
        <v>122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75" customHeight="1">
      <c r="A41" s="6" t="s">
        <v>123</v>
      </c>
      <c r="B41" s="6" t="s">
        <v>124</v>
      </c>
      <c r="C41" s="7">
        <v>1.0</v>
      </c>
      <c r="D41" s="7">
        <v>1.0</v>
      </c>
      <c r="E41" s="7">
        <v>2.0</v>
      </c>
      <c r="F41" s="8" t="s">
        <v>125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75" customHeight="1">
      <c r="A42" s="6" t="s">
        <v>126</v>
      </c>
      <c r="B42" s="6" t="s">
        <v>127</v>
      </c>
      <c r="C42" s="7">
        <v>1.0</v>
      </c>
      <c r="D42" s="7">
        <v>1.0</v>
      </c>
      <c r="E42" s="7">
        <v>3.0</v>
      </c>
      <c r="F42" s="8" t="s">
        <v>128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75" customHeight="1">
      <c r="A43" s="6" t="s">
        <v>129</v>
      </c>
      <c r="B43" s="6" t="s">
        <v>130</v>
      </c>
      <c r="C43" s="7">
        <v>1.0</v>
      </c>
      <c r="D43" s="7">
        <v>1.0</v>
      </c>
      <c r="E43" s="7">
        <v>4.0</v>
      </c>
      <c r="F43" s="8" t="s">
        <v>131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75" customHeight="1">
      <c r="A44" s="6" t="s">
        <v>132</v>
      </c>
      <c r="B44" s="6" t="s">
        <v>133</v>
      </c>
      <c r="C44" s="7">
        <v>1.0</v>
      </c>
      <c r="D44" s="7">
        <v>1.0</v>
      </c>
      <c r="E44" s="7">
        <v>9.0</v>
      </c>
      <c r="F44" s="8" t="s">
        <v>134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75" customHeight="1">
      <c r="A45" s="6" t="s">
        <v>135</v>
      </c>
      <c r="B45" s="6" t="s">
        <v>136</v>
      </c>
      <c r="C45" s="7">
        <v>2.0</v>
      </c>
      <c r="D45" s="7">
        <v>2.0</v>
      </c>
      <c r="E45" s="7">
        <v>15.0</v>
      </c>
      <c r="F45" s="10" t="s">
        <v>137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75" customHeight="1">
      <c r="A46" s="6" t="s">
        <v>138</v>
      </c>
      <c r="B46" s="6" t="s">
        <v>139</v>
      </c>
      <c r="C46" s="7">
        <v>2.0</v>
      </c>
      <c r="D46" s="7">
        <v>2.0</v>
      </c>
      <c r="E46" s="7">
        <v>19.0</v>
      </c>
      <c r="F46" s="8" t="s">
        <v>140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75" customHeight="1">
      <c r="A47" s="6" t="s">
        <v>141</v>
      </c>
      <c r="B47" s="6" t="s">
        <v>142</v>
      </c>
      <c r="C47" s="7">
        <v>2.0</v>
      </c>
      <c r="D47" s="7">
        <v>2.0</v>
      </c>
      <c r="E47" s="7">
        <v>16.0</v>
      </c>
      <c r="F47" s="8" t="s">
        <v>143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5.75" customHeight="1">
      <c r="A48" s="6" t="s">
        <v>144</v>
      </c>
      <c r="B48" s="6" t="s">
        <v>145</v>
      </c>
      <c r="C48" s="7">
        <v>2.0</v>
      </c>
      <c r="D48" s="7">
        <v>2.0</v>
      </c>
      <c r="E48" s="7">
        <v>19.0</v>
      </c>
      <c r="F48" s="8" t="s">
        <v>146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ht="15.75" customHeight="1">
      <c r="A49" s="6" t="s">
        <v>147</v>
      </c>
      <c r="B49" s="6" t="s">
        <v>148</v>
      </c>
      <c r="C49" s="7">
        <v>1.0</v>
      </c>
      <c r="D49" s="7">
        <v>2.0</v>
      </c>
      <c r="E49" s="7">
        <v>17.0</v>
      </c>
      <c r="F49" s="8" t="s">
        <v>149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ht="15.75" customHeight="1">
      <c r="A50" s="6" t="s">
        <v>150</v>
      </c>
      <c r="B50" s="6" t="s">
        <v>151</v>
      </c>
      <c r="C50" s="7">
        <v>2.0</v>
      </c>
      <c r="D50" s="7">
        <v>2.0</v>
      </c>
      <c r="E50" s="7">
        <v>11.0</v>
      </c>
      <c r="F50" s="8" t="s">
        <v>152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ht="15.75" customHeight="1">
      <c r="A51" s="6" t="s">
        <v>153</v>
      </c>
      <c r="B51" s="6" t="s">
        <v>154</v>
      </c>
      <c r="C51" s="7">
        <v>1.0</v>
      </c>
      <c r="D51" s="7">
        <v>2.0</v>
      </c>
      <c r="E51" s="7">
        <v>11.0</v>
      </c>
      <c r="F51" s="8" t="s">
        <v>155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ht="15.75" customHeight="1">
      <c r="A52" s="6" t="s">
        <v>156</v>
      </c>
      <c r="B52" s="6" t="s">
        <v>157</v>
      </c>
      <c r="C52" s="7">
        <v>2.0</v>
      </c>
      <c r="D52" s="7">
        <v>2.0</v>
      </c>
      <c r="E52" s="7">
        <v>13.0</v>
      </c>
      <c r="F52" s="8" t="s">
        <v>158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ht="15.75" customHeight="1">
      <c r="A53" s="6" t="s">
        <v>159</v>
      </c>
      <c r="B53" s="6" t="s">
        <v>160</v>
      </c>
      <c r="C53" s="7">
        <v>2.0</v>
      </c>
      <c r="D53" s="7">
        <v>2.0</v>
      </c>
      <c r="E53" s="7">
        <v>18.0</v>
      </c>
      <c r="F53" s="8" t="s">
        <v>161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ht="15.75" customHeight="1">
      <c r="A54" s="6" t="s">
        <v>162</v>
      </c>
      <c r="B54" s="6" t="s">
        <v>163</v>
      </c>
      <c r="C54" s="7">
        <v>1.0</v>
      </c>
      <c r="D54" s="7">
        <v>2.0</v>
      </c>
      <c r="E54" s="7">
        <v>15.0</v>
      </c>
      <c r="F54" s="8" t="s">
        <v>164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ht="15.75" customHeight="1">
      <c r="A55" s="6" t="s">
        <v>165</v>
      </c>
      <c r="B55" s="6" t="s">
        <v>166</v>
      </c>
      <c r="C55" s="7">
        <v>2.0</v>
      </c>
      <c r="D55" s="7">
        <v>2.0</v>
      </c>
      <c r="E55" s="7">
        <v>14.0</v>
      </c>
      <c r="F55" s="8" t="s">
        <v>167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ht="15.75" customHeight="1">
      <c r="A56" s="6" t="s">
        <v>168</v>
      </c>
      <c r="B56" s="6" t="s">
        <v>169</v>
      </c>
      <c r="C56" s="7">
        <v>2.0</v>
      </c>
      <c r="D56" s="7">
        <v>2.0</v>
      </c>
      <c r="E56" s="7">
        <v>12.0</v>
      </c>
      <c r="F56" s="8" t="s">
        <v>170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ht="15.75" customHeight="1">
      <c r="A57" s="6" t="s">
        <v>171</v>
      </c>
      <c r="B57" s="6" t="s">
        <v>172</v>
      </c>
      <c r="C57" s="7">
        <v>2.0</v>
      </c>
      <c r="D57" s="7">
        <v>2.0</v>
      </c>
      <c r="E57" s="7">
        <v>13.0</v>
      </c>
      <c r="F57" s="8" t="s">
        <v>173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ht="15.75" customHeight="1">
      <c r="A58" s="6" t="s">
        <v>174</v>
      </c>
      <c r="B58" s="6" t="s">
        <v>175</v>
      </c>
      <c r="C58" s="7">
        <v>2.0</v>
      </c>
      <c r="D58" s="7">
        <v>2.0</v>
      </c>
      <c r="E58" s="7">
        <v>12.0</v>
      </c>
      <c r="F58" s="8" t="s">
        <v>176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ht="15.75" customHeight="1">
      <c r="A59" s="6" t="s">
        <v>177</v>
      </c>
      <c r="B59" s="6" t="s">
        <v>178</v>
      </c>
      <c r="C59" s="7">
        <v>2.0</v>
      </c>
      <c r="D59" s="7">
        <v>2.0</v>
      </c>
      <c r="E59" s="7">
        <v>20.0</v>
      </c>
      <c r="F59" s="8" t="s">
        <v>179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ht="15.75" customHeight="1">
      <c r="A60" s="6" t="s">
        <v>180</v>
      </c>
      <c r="B60" s="6" t="s">
        <v>181</v>
      </c>
      <c r="C60" s="7">
        <v>2.0</v>
      </c>
      <c r="D60" s="7">
        <v>2.0</v>
      </c>
      <c r="E60" s="7">
        <v>17.0</v>
      </c>
      <c r="F60" s="8" t="s">
        <v>182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ht="15.75" customHeight="1">
      <c r="A61" s="6" t="s">
        <v>183</v>
      </c>
      <c r="B61" s="6" t="s">
        <v>184</v>
      </c>
      <c r="C61" s="7">
        <v>2.0</v>
      </c>
      <c r="D61" s="7">
        <v>2.0</v>
      </c>
      <c r="E61" s="7">
        <v>19.0</v>
      </c>
      <c r="F61" s="8" t="s">
        <v>185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ht="15.75" customHeight="1">
      <c r="A62" s="6" t="s">
        <v>186</v>
      </c>
      <c r="B62" s="6" t="s">
        <v>187</v>
      </c>
      <c r="C62" s="7">
        <v>2.0</v>
      </c>
      <c r="D62" s="7">
        <v>2.0</v>
      </c>
      <c r="E62" s="7">
        <v>11.0</v>
      </c>
      <c r="F62" s="8" t="s">
        <v>188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ht="15.75" customHeight="1">
      <c r="A63" s="6" t="s">
        <v>189</v>
      </c>
      <c r="B63" s="6" t="s">
        <v>190</v>
      </c>
      <c r="C63" s="7">
        <v>2.0</v>
      </c>
      <c r="D63" s="7">
        <v>2.0</v>
      </c>
      <c r="E63" s="7">
        <v>16.0</v>
      </c>
      <c r="F63" s="8" t="s">
        <v>191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ht="15.75" customHeight="1">
      <c r="A64" s="6" t="s">
        <v>192</v>
      </c>
      <c r="B64" s="6" t="s">
        <v>193</v>
      </c>
      <c r="C64" s="7">
        <v>2.0</v>
      </c>
      <c r="D64" s="7">
        <v>2.0</v>
      </c>
      <c r="E64" s="7">
        <v>12.0</v>
      </c>
      <c r="F64" s="8" t="s">
        <v>194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ht="15.75" customHeight="1">
      <c r="A65" s="6" t="s">
        <v>195</v>
      </c>
      <c r="B65" s="6" t="s">
        <v>196</v>
      </c>
      <c r="C65" s="7">
        <v>2.0</v>
      </c>
      <c r="D65" s="7">
        <v>2.0</v>
      </c>
      <c r="E65" s="7">
        <v>14.0</v>
      </c>
      <c r="F65" s="8" t="s">
        <v>197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ht="15.75" customHeight="1">
      <c r="A66" s="6" t="s">
        <v>198</v>
      </c>
      <c r="B66" s="6" t="s">
        <v>199</v>
      </c>
      <c r="C66" s="7">
        <v>2.0</v>
      </c>
      <c r="D66" s="7">
        <v>2.0</v>
      </c>
      <c r="E66" s="7">
        <v>19.0</v>
      </c>
      <c r="F66" s="8" t="s">
        <v>200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ht="15.75" customHeight="1">
      <c r="A67" s="6" t="s">
        <v>201</v>
      </c>
      <c r="B67" s="6" t="s">
        <v>202</v>
      </c>
      <c r="C67" s="7">
        <v>2.0</v>
      </c>
      <c r="D67" s="7">
        <v>2.0</v>
      </c>
      <c r="E67" s="7">
        <v>20.0</v>
      </c>
      <c r="F67" s="9" t="s">
        <v>203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ht="15.75" customHeight="1">
      <c r="A68" s="6" t="s">
        <v>204</v>
      </c>
      <c r="B68" s="6" t="s">
        <v>205</v>
      </c>
      <c r="C68" s="7">
        <v>2.0</v>
      </c>
      <c r="D68" s="7">
        <v>2.0</v>
      </c>
      <c r="E68" s="7">
        <v>13.0</v>
      </c>
      <c r="F68" s="9" t="s">
        <v>206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ht="15.75" customHeight="1">
      <c r="A69" s="6" t="s">
        <v>207</v>
      </c>
      <c r="B69" s="6" t="s">
        <v>208</v>
      </c>
      <c r="C69" s="7">
        <v>2.0</v>
      </c>
      <c r="D69" s="7">
        <v>2.0</v>
      </c>
      <c r="E69" s="7">
        <v>14.0</v>
      </c>
      <c r="F69" s="9" t="s">
        <v>209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ht="15.75" customHeight="1">
      <c r="A70" s="6" t="s">
        <v>210</v>
      </c>
      <c r="B70" s="6" t="s">
        <v>211</v>
      </c>
      <c r="C70" s="7">
        <v>2.0</v>
      </c>
      <c r="D70" s="7">
        <v>2.0</v>
      </c>
      <c r="E70" s="7">
        <v>12.0</v>
      </c>
      <c r="F70" s="9" t="s">
        <v>212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ht="15.75" customHeight="1">
      <c r="A71" s="6" t="s">
        <v>213</v>
      </c>
      <c r="B71" s="6" t="s">
        <v>214</v>
      </c>
      <c r="C71" s="7">
        <v>2.0</v>
      </c>
      <c r="D71" s="7">
        <v>2.0</v>
      </c>
      <c r="E71" s="7">
        <v>20.0</v>
      </c>
      <c r="F71" s="9" t="s">
        <v>215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ht="15.75" customHeight="1">
      <c r="A72" s="6" t="s">
        <v>216</v>
      </c>
      <c r="B72" s="6" t="s">
        <v>217</v>
      </c>
      <c r="C72" s="7">
        <v>2.0</v>
      </c>
      <c r="D72" s="7">
        <v>2.0</v>
      </c>
      <c r="E72" s="7">
        <v>11.0</v>
      </c>
      <c r="F72" s="9" t="s">
        <v>218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ht="15.75" customHeight="1">
      <c r="A73" s="6" t="s">
        <v>219</v>
      </c>
      <c r="B73" s="6" t="s">
        <v>220</v>
      </c>
      <c r="C73" s="7">
        <v>2.0</v>
      </c>
      <c r="D73" s="7">
        <v>2.0</v>
      </c>
      <c r="E73" s="7">
        <v>16.0</v>
      </c>
      <c r="F73" s="9" t="s">
        <v>221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ht="15.75" customHeight="1">
      <c r="A74" s="6" t="s">
        <v>222</v>
      </c>
      <c r="B74" s="6" t="s">
        <v>223</v>
      </c>
      <c r="C74" s="7">
        <v>2.0</v>
      </c>
      <c r="D74" s="7">
        <v>2.0</v>
      </c>
      <c r="E74" s="7">
        <v>18.0</v>
      </c>
      <c r="F74" s="9" t="s">
        <v>224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ht="15.75" customHeight="1">
      <c r="A75" s="6" t="s">
        <v>225</v>
      </c>
      <c r="B75" s="6" t="s">
        <v>226</v>
      </c>
      <c r="C75" s="7">
        <v>2.0</v>
      </c>
      <c r="D75" s="7">
        <v>2.0</v>
      </c>
      <c r="E75" s="7">
        <v>15.0</v>
      </c>
      <c r="F75" s="9" t="s">
        <v>227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ht="15.75" customHeight="1">
      <c r="A76" s="6" t="s">
        <v>228</v>
      </c>
      <c r="B76" s="6" t="s">
        <v>229</v>
      </c>
      <c r="C76" s="7">
        <v>2.0</v>
      </c>
      <c r="D76" s="7">
        <v>2.0</v>
      </c>
      <c r="E76" s="7">
        <v>20.0</v>
      </c>
      <c r="F76" s="9" t="s">
        <v>230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ht="15.75" customHeight="1">
      <c r="A77" s="6" t="s">
        <v>231</v>
      </c>
      <c r="B77" s="6" t="s">
        <v>232</v>
      </c>
      <c r="C77" s="7">
        <v>2.0</v>
      </c>
      <c r="D77" s="7">
        <v>2.0</v>
      </c>
      <c r="E77" s="7">
        <v>16.0</v>
      </c>
      <c r="F77" s="9" t="s">
        <v>233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ht="15.75" customHeight="1">
      <c r="A78" s="6" t="s">
        <v>234</v>
      </c>
      <c r="B78" s="6" t="s">
        <v>235</v>
      </c>
      <c r="C78" s="7">
        <v>2.0</v>
      </c>
      <c r="D78" s="7">
        <v>2.0</v>
      </c>
      <c r="E78" s="7">
        <v>11.0</v>
      </c>
      <c r="F78" s="9" t="s">
        <v>236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ht="15.75" customHeight="1">
      <c r="A79" s="6" t="s">
        <v>237</v>
      </c>
      <c r="B79" s="6" t="s">
        <v>238</v>
      </c>
      <c r="C79" s="7">
        <v>2.0</v>
      </c>
      <c r="D79" s="7">
        <v>2.0</v>
      </c>
      <c r="E79" s="7">
        <v>17.0</v>
      </c>
      <c r="F79" s="9" t="s">
        <v>239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ht="15.75" customHeight="1">
      <c r="A80" s="6" t="s">
        <v>240</v>
      </c>
      <c r="B80" s="6" t="s">
        <v>241</v>
      </c>
      <c r="C80" s="7">
        <v>2.0</v>
      </c>
      <c r="D80" s="7">
        <v>2.0</v>
      </c>
      <c r="E80" s="7">
        <v>14.0</v>
      </c>
      <c r="F80" s="9" t="s">
        <v>242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ht="15.75" customHeight="1">
      <c r="A81" s="6" t="s">
        <v>243</v>
      </c>
      <c r="B81" s="6" t="s">
        <v>244</v>
      </c>
      <c r="C81" s="7">
        <v>2.0</v>
      </c>
      <c r="D81" s="7">
        <v>2.0</v>
      </c>
      <c r="E81" s="7">
        <v>17.0</v>
      </c>
      <c r="F81" s="9" t="s">
        <v>245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ht="15.75" hidden="1" customHeight="1">
      <c r="A82" s="6"/>
      <c r="B82" s="6"/>
      <c r="C82" s="7">
        <f t="shared" ref="C82:D82" si="1">COUNTIF(C$2:C$81,"1")</f>
        <v>45</v>
      </c>
      <c r="D82" s="7">
        <f t="shared" si="1"/>
        <v>43</v>
      </c>
      <c r="E82" s="7"/>
      <c r="F82" s="9" t="s">
        <v>245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ht="15.75" hidden="1" customHeight="1">
      <c r="A83" s="6"/>
      <c r="B83" s="6"/>
      <c r="C83" s="7">
        <f t="shared" ref="C83:D83" si="2">COUNTIF(C$2:C$81,"2")</f>
        <v>35</v>
      </c>
      <c r="D83" s="7">
        <f t="shared" si="2"/>
        <v>37</v>
      </c>
      <c r="E83" s="7"/>
      <c r="F83" s="9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</sheetData>
  <autoFilter ref="$A$1:$F$83">
    <sortState ref="A1:F83">
      <sortCondition ref="D1:D83"/>
      <sortCondition ref="B1:B83"/>
    </sortState>
  </autoFilter>
  <printOptions/>
  <pageMargins bottom="0.78740157480315" footer="0.0" header="0.0" left="0.78740157480315" right="0.78740157480315" top="0.7874015748031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5.86"/>
    <col customWidth="1" min="5" max="5" width="37.43"/>
    <col customWidth="1" min="6" max="6" width="16.0"/>
  </cols>
  <sheetData>
    <row r="1">
      <c r="A1" s="10" t="s">
        <v>246</v>
      </c>
      <c r="B1" s="10" t="s">
        <v>70</v>
      </c>
      <c r="C1" s="10">
        <v>1.0</v>
      </c>
    </row>
    <row r="2">
      <c r="A2" s="10" t="s">
        <v>246</v>
      </c>
      <c r="B2" s="10" t="s">
        <v>64</v>
      </c>
      <c r="C2" s="10">
        <v>1.0</v>
      </c>
    </row>
    <row r="3">
      <c r="A3" s="10" t="s">
        <v>246</v>
      </c>
      <c r="B3" s="10" t="s">
        <v>82</v>
      </c>
      <c r="C3" s="10">
        <v>1.0</v>
      </c>
    </row>
    <row r="4">
      <c r="A4" s="10" t="s">
        <v>246</v>
      </c>
      <c r="B4" s="10" t="s">
        <v>109</v>
      </c>
      <c r="C4" s="10">
        <v>1.0</v>
      </c>
    </row>
    <row r="5">
      <c r="A5" s="10" t="s">
        <v>246</v>
      </c>
      <c r="B5" s="10" t="s">
        <v>121</v>
      </c>
      <c r="C5" s="10">
        <v>1.0</v>
      </c>
    </row>
    <row r="6">
      <c r="A6" s="10" t="s">
        <v>247</v>
      </c>
      <c r="B6" s="10" t="s">
        <v>28</v>
      </c>
      <c r="C6" s="10">
        <v>2.0</v>
      </c>
    </row>
    <row r="7">
      <c r="A7" s="10" t="s">
        <v>247</v>
      </c>
      <c r="B7" s="10" t="s">
        <v>85</v>
      </c>
      <c r="C7" s="10">
        <v>2.0</v>
      </c>
    </row>
    <row r="8">
      <c r="A8" s="10" t="s">
        <v>247</v>
      </c>
      <c r="B8" s="10" t="s">
        <v>88</v>
      </c>
      <c r="C8" s="10">
        <v>2.0</v>
      </c>
    </row>
    <row r="9">
      <c r="A9" s="10" t="s">
        <v>247</v>
      </c>
      <c r="B9" s="10" t="s">
        <v>124</v>
      </c>
      <c r="C9" s="10">
        <v>2.0</v>
      </c>
    </row>
    <row r="10">
      <c r="A10" s="10" t="s">
        <v>247</v>
      </c>
      <c r="B10" s="10" t="s">
        <v>43</v>
      </c>
      <c r="C10" s="10">
        <v>2.0</v>
      </c>
    </row>
    <row r="11">
      <c r="A11" s="10" t="s">
        <v>248</v>
      </c>
      <c r="B11" s="10" t="s">
        <v>127</v>
      </c>
      <c r="C11" s="10">
        <v>3.0</v>
      </c>
    </row>
    <row r="12">
      <c r="A12" s="10" t="s">
        <v>248</v>
      </c>
      <c r="B12" s="10" t="s">
        <v>25</v>
      </c>
      <c r="C12" s="10">
        <v>3.0</v>
      </c>
    </row>
    <row r="13">
      <c r="A13" s="10" t="s">
        <v>248</v>
      </c>
      <c r="B13" s="10" t="s">
        <v>79</v>
      </c>
      <c r="C13" s="10">
        <v>3.0</v>
      </c>
    </row>
    <row r="14">
      <c r="A14" s="10" t="s">
        <v>248</v>
      </c>
      <c r="B14" s="10" t="s">
        <v>61</v>
      </c>
      <c r="C14" s="10">
        <v>3.0</v>
      </c>
    </row>
    <row r="15">
      <c r="A15" s="10" t="s">
        <v>248</v>
      </c>
      <c r="B15" s="10" t="s">
        <v>46</v>
      </c>
      <c r="C15" s="10">
        <v>3.0</v>
      </c>
    </row>
    <row r="16">
      <c r="A16" s="10" t="s">
        <v>249</v>
      </c>
      <c r="B16" s="10" t="s">
        <v>130</v>
      </c>
      <c r="C16" s="10">
        <v>4.0</v>
      </c>
    </row>
    <row r="17">
      <c r="A17" s="10" t="s">
        <v>249</v>
      </c>
      <c r="B17" s="10" t="s">
        <v>37</v>
      </c>
      <c r="C17" s="10">
        <v>4.0</v>
      </c>
    </row>
    <row r="18">
      <c r="A18" s="10" t="s">
        <v>249</v>
      </c>
      <c r="B18" s="10" t="s">
        <v>34</v>
      </c>
      <c r="C18" s="10">
        <v>4.0</v>
      </c>
    </row>
    <row r="19">
      <c r="A19" s="10" t="s">
        <v>249</v>
      </c>
      <c r="B19" s="10" t="s">
        <v>19</v>
      </c>
      <c r="C19" s="10">
        <v>4.0</v>
      </c>
    </row>
    <row r="20">
      <c r="A20" s="10" t="s">
        <v>250</v>
      </c>
      <c r="B20" s="10" t="s">
        <v>40</v>
      </c>
      <c r="C20" s="10">
        <v>5.0</v>
      </c>
    </row>
    <row r="21">
      <c r="A21" s="10" t="s">
        <v>250</v>
      </c>
      <c r="B21" s="10" t="s">
        <v>55</v>
      </c>
      <c r="C21" s="10">
        <v>5.0</v>
      </c>
    </row>
    <row r="22">
      <c r="A22" s="10" t="s">
        <v>250</v>
      </c>
      <c r="B22" s="10" t="s">
        <v>22</v>
      </c>
      <c r="C22" s="10">
        <v>5.0</v>
      </c>
    </row>
    <row r="23">
      <c r="A23" s="10" t="s">
        <v>250</v>
      </c>
      <c r="B23" s="10" t="s">
        <v>52</v>
      </c>
      <c r="C23" s="10">
        <v>5.0</v>
      </c>
    </row>
    <row r="24">
      <c r="A24" s="10" t="s">
        <v>251</v>
      </c>
      <c r="B24" s="10" t="s">
        <v>7</v>
      </c>
      <c r="C24" s="10">
        <v>6.0</v>
      </c>
    </row>
    <row r="25">
      <c r="A25" s="10" t="s">
        <v>251</v>
      </c>
      <c r="B25" s="10" t="s">
        <v>94</v>
      </c>
      <c r="C25" s="10">
        <v>6.0</v>
      </c>
    </row>
    <row r="26">
      <c r="A26" s="10" t="s">
        <v>251</v>
      </c>
      <c r="B26" s="10" t="s">
        <v>91</v>
      </c>
      <c r="C26" s="10">
        <v>6.0</v>
      </c>
    </row>
    <row r="27">
      <c r="A27" s="10" t="s">
        <v>251</v>
      </c>
      <c r="B27" s="10" t="s">
        <v>100</v>
      </c>
      <c r="C27" s="10">
        <v>6.0</v>
      </c>
    </row>
    <row r="28">
      <c r="A28" s="10" t="s">
        <v>252</v>
      </c>
      <c r="B28" s="10" t="s">
        <v>103</v>
      </c>
      <c r="C28" s="10">
        <v>7.0</v>
      </c>
    </row>
    <row r="29">
      <c r="A29" s="10" t="s">
        <v>252</v>
      </c>
      <c r="B29" s="10" t="s">
        <v>16</v>
      </c>
      <c r="C29" s="10">
        <v>7.0</v>
      </c>
    </row>
    <row r="30">
      <c r="A30" s="10" t="s">
        <v>252</v>
      </c>
      <c r="B30" s="10" t="s">
        <v>73</v>
      </c>
      <c r="C30" s="10">
        <v>7.0</v>
      </c>
    </row>
    <row r="31">
      <c r="A31" s="10" t="s">
        <v>252</v>
      </c>
      <c r="B31" s="10" t="s">
        <v>58</v>
      </c>
      <c r="C31" s="10">
        <v>7.0</v>
      </c>
    </row>
    <row r="32">
      <c r="A32" s="10" t="s">
        <v>253</v>
      </c>
      <c r="B32" s="10" t="s">
        <v>13</v>
      </c>
      <c r="C32" s="10">
        <v>8.0</v>
      </c>
    </row>
    <row r="33">
      <c r="A33" s="10" t="s">
        <v>253</v>
      </c>
      <c r="B33" s="10" t="s">
        <v>112</v>
      </c>
      <c r="C33" s="10">
        <v>8.0</v>
      </c>
    </row>
    <row r="34">
      <c r="A34" s="10" t="s">
        <v>253</v>
      </c>
      <c r="B34" s="10" t="s">
        <v>97</v>
      </c>
      <c r="C34" s="10">
        <v>8.0</v>
      </c>
    </row>
    <row r="35">
      <c r="A35" s="10" t="s">
        <v>253</v>
      </c>
      <c r="B35" s="10" t="s">
        <v>49</v>
      </c>
      <c r="C35" s="10">
        <v>8.0</v>
      </c>
    </row>
    <row r="36">
      <c r="A36" s="10" t="s">
        <v>254</v>
      </c>
      <c r="B36" s="10" t="s">
        <v>118</v>
      </c>
      <c r="C36" s="10">
        <v>9.0</v>
      </c>
    </row>
    <row r="37">
      <c r="A37" s="10" t="s">
        <v>254</v>
      </c>
      <c r="B37" s="10" t="s">
        <v>133</v>
      </c>
      <c r="C37" s="10">
        <v>9.0</v>
      </c>
    </row>
    <row r="38">
      <c r="A38" s="10" t="s">
        <v>254</v>
      </c>
      <c r="B38" s="10" t="s">
        <v>76</v>
      </c>
      <c r="C38" s="10">
        <v>9.0</v>
      </c>
    </row>
    <row r="39">
      <c r="A39" s="10" t="s">
        <v>254</v>
      </c>
      <c r="B39" s="10" t="s">
        <v>31</v>
      </c>
      <c r="C39" s="10">
        <v>9.0</v>
      </c>
    </row>
    <row r="40">
      <c r="A40" s="10" t="s">
        <v>255</v>
      </c>
      <c r="B40" s="10" t="s">
        <v>115</v>
      </c>
      <c r="C40" s="10">
        <v>10.0</v>
      </c>
    </row>
    <row r="41">
      <c r="A41" s="10" t="s">
        <v>255</v>
      </c>
      <c r="B41" s="10" t="s">
        <v>67</v>
      </c>
      <c r="C41" s="10">
        <v>10.0</v>
      </c>
    </row>
    <row r="42">
      <c r="A42" s="10" t="s">
        <v>255</v>
      </c>
      <c r="B42" s="10" t="s">
        <v>10</v>
      </c>
      <c r="C42" s="10">
        <v>10.0</v>
      </c>
    </row>
    <row r="43">
      <c r="A43" s="10" t="s">
        <v>255</v>
      </c>
      <c r="B43" s="10" t="s">
        <v>106</v>
      </c>
      <c r="C43" s="10">
        <v>10.0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2.86"/>
  </cols>
  <sheetData>
    <row r="1">
      <c r="A1" s="10" t="s">
        <v>246</v>
      </c>
      <c r="B1" s="10" t="s">
        <v>187</v>
      </c>
      <c r="C1" s="10">
        <v>11.0</v>
      </c>
    </row>
    <row r="2">
      <c r="A2" s="10" t="s">
        <v>246</v>
      </c>
      <c r="B2" s="10" t="s">
        <v>235</v>
      </c>
      <c r="C2" s="10">
        <v>11.0</v>
      </c>
    </row>
    <row r="3">
      <c r="A3" s="10" t="s">
        <v>246</v>
      </c>
      <c r="B3" s="10" t="s">
        <v>217</v>
      </c>
      <c r="C3" s="10">
        <v>11.0</v>
      </c>
    </row>
    <row r="4">
      <c r="A4" s="10" t="s">
        <v>246</v>
      </c>
      <c r="B4" s="10" t="s">
        <v>151</v>
      </c>
      <c r="C4" s="10">
        <v>11.0</v>
      </c>
    </row>
    <row r="5">
      <c r="A5" s="10" t="s">
        <v>246</v>
      </c>
      <c r="B5" s="10" t="s">
        <v>154</v>
      </c>
      <c r="C5" s="10">
        <v>11.0</v>
      </c>
    </row>
    <row r="6">
      <c r="A6" s="10" t="s">
        <v>247</v>
      </c>
      <c r="B6" s="10" t="s">
        <v>193</v>
      </c>
      <c r="C6" s="10">
        <v>12.0</v>
      </c>
    </row>
    <row r="7">
      <c r="A7" s="10" t="s">
        <v>247</v>
      </c>
      <c r="B7" s="10" t="s">
        <v>169</v>
      </c>
      <c r="C7" s="10">
        <v>12.0</v>
      </c>
    </row>
    <row r="8">
      <c r="A8" s="10" t="s">
        <v>247</v>
      </c>
      <c r="B8" s="10" t="s">
        <v>175</v>
      </c>
      <c r="C8" s="10">
        <v>12.0</v>
      </c>
    </row>
    <row r="9">
      <c r="A9" s="10" t="s">
        <v>247</v>
      </c>
      <c r="B9" s="10" t="s">
        <v>211</v>
      </c>
      <c r="C9" s="10">
        <v>12.0</v>
      </c>
    </row>
    <row r="10">
      <c r="A10" s="10" t="s">
        <v>248</v>
      </c>
      <c r="B10" s="10" t="s">
        <v>256</v>
      </c>
      <c r="C10" s="10">
        <v>13.0</v>
      </c>
    </row>
    <row r="11">
      <c r="A11" s="10" t="s">
        <v>248</v>
      </c>
      <c r="B11" s="10" t="s">
        <v>205</v>
      </c>
      <c r="C11" s="10">
        <v>13.0</v>
      </c>
    </row>
    <row r="12">
      <c r="A12" s="10" t="s">
        <v>248</v>
      </c>
      <c r="B12" s="10" t="s">
        <v>172</v>
      </c>
      <c r="C12" s="10">
        <v>13.0</v>
      </c>
    </row>
    <row r="13">
      <c r="A13" s="10" t="s">
        <v>248</v>
      </c>
      <c r="B13" s="10" t="s">
        <v>157</v>
      </c>
      <c r="C13" s="10">
        <v>13.0</v>
      </c>
    </row>
    <row r="14">
      <c r="A14" s="10" t="s">
        <v>249</v>
      </c>
      <c r="B14" s="10" t="s">
        <v>208</v>
      </c>
      <c r="C14" s="10">
        <v>14.0</v>
      </c>
    </row>
    <row r="15">
      <c r="A15" s="10" t="s">
        <v>249</v>
      </c>
      <c r="B15" s="10" t="s">
        <v>196</v>
      </c>
      <c r="C15" s="10">
        <v>14.0</v>
      </c>
    </row>
    <row r="16">
      <c r="A16" s="10" t="s">
        <v>249</v>
      </c>
      <c r="B16" s="10" t="s">
        <v>166</v>
      </c>
      <c r="C16" s="10">
        <v>14.0</v>
      </c>
    </row>
    <row r="17">
      <c r="A17" s="10" t="s">
        <v>249</v>
      </c>
      <c r="B17" s="10" t="s">
        <v>241</v>
      </c>
      <c r="C17" s="10">
        <v>14.0</v>
      </c>
    </row>
    <row r="18">
      <c r="A18" s="10" t="s">
        <v>250</v>
      </c>
      <c r="B18" s="10" t="s">
        <v>136</v>
      </c>
      <c r="C18" s="10">
        <v>15.0</v>
      </c>
    </row>
    <row r="19">
      <c r="A19" s="10" t="s">
        <v>250</v>
      </c>
      <c r="B19" s="10" t="s">
        <v>226</v>
      </c>
      <c r="C19" s="10">
        <v>15.0</v>
      </c>
    </row>
    <row r="20">
      <c r="A20" s="10" t="s">
        <v>250</v>
      </c>
      <c r="B20" s="10" t="s">
        <v>257</v>
      </c>
      <c r="C20" s="10">
        <v>15.0</v>
      </c>
    </row>
    <row r="21">
      <c r="A21" s="10" t="s">
        <v>250</v>
      </c>
      <c r="B21" s="10" t="s">
        <v>163</v>
      </c>
      <c r="C21" s="10">
        <v>15.0</v>
      </c>
    </row>
    <row r="22">
      <c r="A22" s="10" t="s">
        <v>251</v>
      </c>
      <c r="B22" s="10" t="s">
        <v>142</v>
      </c>
      <c r="C22" s="10">
        <v>16.0</v>
      </c>
    </row>
    <row r="23">
      <c r="A23" s="10" t="s">
        <v>251</v>
      </c>
      <c r="B23" s="10" t="s">
        <v>232</v>
      </c>
      <c r="C23" s="10">
        <v>16.0</v>
      </c>
    </row>
    <row r="24">
      <c r="A24" s="10" t="s">
        <v>251</v>
      </c>
      <c r="B24" s="10" t="s">
        <v>220</v>
      </c>
      <c r="C24" s="10">
        <v>16.0</v>
      </c>
    </row>
    <row r="25">
      <c r="A25" s="10" t="s">
        <v>251</v>
      </c>
      <c r="B25" s="10" t="s">
        <v>190</v>
      </c>
      <c r="C25" s="10">
        <v>16.0</v>
      </c>
    </row>
    <row r="26">
      <c r="A26" s="10" t="s">
        <v>252</v>
      </c>
      <c r="B26" s="10" t="s">
        <v>244</v>
      </c>
      <c r="C26" s="10">
        <v>17.0</v>
      </c>
    </row>
    <row r="27">
      <c r="A27" s="10" t="s">
        <v>252</v>
      </c>
      <c r="B27" s="10" t="s">
        <v>148</v>
      </c>
      <c r="C27" s="10">
        <v>17.0</v>
      </c>
    </row>
    <row r="28">
      <c r="A28" s="10" t="s">
        <v>252</v>
      </c>
      <c r="B28" s="10" t="s">
        <v>238</v>
      </c>
      <c r="C28" s="10">
        <v>17.0</v>
      </c>
    </row>
    <row r="29">
      <c r="A29" s="10" t="s">
        <v>252</v>
      </c>
      <c r="B29" s="10" t="s">
        <v>181</v>
      </c>
      <c r="C29" s="10">
        <v>17.0</v>
      </c>
    </row>
    <row r="30">
      <c r="A30" s="10" t="s">
        <v>253</v>
      </c>
      <c r="B30" s="10" t="s">
        <v>258</v>
      </c>
      <c r="C30" s="10">
        <v>18.0</v>
      </c>
    </row>
    <row r="31">
      <c r="A31" s="10" t="s">
        <v>253</v>
      </c>
      <c r="B31" s="10" t="s">
        <v>259</v>
      </c>
      <c r="C31" s="10">
        <v>18.0</v>
      </c>
    </row>
    <row r="32">
      <c r="A32" s="10" t="s">
        <v>253</v>
      </c>
      <c r="B32" s="10" t="s">
        <v>223</v>
      </c>
      <c r="C32" s="10">
        <v>18.0</v>
      </c>
    </row>
    <row r="33">
      <c r="A33" s="10" t="s">
        <v>253</v>
      </c>
      <c r="B33" s="10" t="s">
        <v>160</v>
      </c>
      <c r="C33" s="10">
        <v>18.0</v>
      </c>
    </row>
    <row r="34">
      <c r="A34" s="10" t="s">
        <v>254</v>
      </c>
      <c r="B34" s="10" t="s">
        <v>145</v>
      </c>
      <c r="C34" s="10">
        <v>19.0</v>
      </c>
    </row>
    <row r="35">
      <c r="A35" s="10" t="s">
        <v>254</v>
      </c>
      <c r="B35" s="10" t="s">
        <v>199</v>
      </c>
      <c r="C35" s="10">
        <v>19.0</v>
      </c>
    </row>
    <row r="36">
      <c r="A36" s="10" t="s">
        <v>254</v>
      </c>
      <c r="B36" s="10" t="s">
        <v>184</v>
      </c>
      <c r="C36" s="10">
        <v>19.0</v>
      </c>
    </row>
    <row r="37">
      <c r="A37" s="10" t="s">
        <v>254</v>
      </c>
      <c r="B37" s="10" t="s">
        <v>139</v>
      </c>
      <c r="C37" s="10">
        <v>19.0</v>
      </c>
    </row>
    <row r="38">
      <c r="A38" s="10" t="s">
        <v>255</v>
      </c>
      <c r="B38" s="10" t="s">
        <v>178</v>
      </c>
      <c r="C38" s="10">
        <v>20.0</v>
      </c>
    </row>
    <row r="39">
      <c r="A39" s="10" t="s">
        <v>255</v>
      </c>
      <c r="B39" s="10" t="s">
        <v>202</v>
      </c>
      <c r="C39" s="10">
        <v>20.0</v>
      </c>
    </row>
    <row r="40">
      <c r="A40" s="10" t="s">
        <v>255</v>
      </c>
      <c r="B40" s="10" t="s">
        <v>214</v>
      </c>
      <c r="C40" s="10">
        <v>20.0</v>
      </c>
    </row>
    <row r="41">
      <c r="A41" s="10" t="s">
        <v>255</v>
      </c>
      <c r="B41" s="10" t="s">
        <v>229</v>
      </c>
      <c r="C41" s="10">
        <v>20.0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51.57"/>
    <col customWidth="1" min="3" max="3" width="3.29"/>
    <col customWidth="1" min="4" max="4" width="4.71"/>
    <col customWidth="1" min="5" max="5" width="50.0"/>
    <col customWidth="1" min="6" max="22" width="10.71"/>
  </cols>
  <sheetData>
    <row r="1">
      <c r="A1" s="11"/>
      <c r="B1" s="11" t="s">
        <v>260</v>
      </c>
      <c r="C1" s="12"/>
      <c r="D1" s="13"/>
      <c r="E1" s="11" t="s">
        <v>261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</row>
    <row r="2">
      <c r="A2" s="14"/>
      <c r="B2" s="14"/>
      <c r="C2" s="12"/>
      <c r="D2" s="14"/>
      <c r="E2" s="14"/>
      <c r="F2" s="12"/>
      <c r="G2" s="12"/>
      <c r="H2" s="12"/>
      <c r="I2" s="12"/>
      <c r="J2" s="12"/>
      <c r="K2" s="12"/>
      <c r="L2" s="15"/>
      <c r="M2" s="15"/>
      <c r="N2" s="12"/>
      <c r="O2" s="12"/>
      <c r="P2" s="12"/>
      <c r="Q2" s="12"/>
      <c r="R2" s="12"/>
      <c r="S2" s="12"/>
      <c r="T2" s="12"/>
      <c r="U2" s="12"/>
      <c r="V2" s="12"/>
    </row>
    <row r="3">
      <c r="A3" s="16" t="s">
        <v>246</v>
      </c>
      <c r="B3" s="17" t="s">
        <v>70</v>
      </c>
      <c r="C3" s="12"/>
      <c r="D3" s="18" t="s">
        <v>262</v>
      </c>
      <c r="E3" s="17" t="s">
        <v>187</v>
      </c>
      <c r="F3" s="12"/>
      <c r="G3" s="12"/>
      <c r="H3" s="15"/>
      <c r="I3" s="12"/>
      <c r="J3" s="12"/>
      <c r="K3" s="15"/>
      <c r="L3" s="15"/>
      <c r="M3" s="15"/>
      <c r="N3" s="12"/>
      <c r="O3" s="12"/>
      <c r="P3" s="12"/>
      <c r="Q3" s="12"/>
      <c r="R3" s="12"/>
      <c r="S3" s="12"/>
      <c r="T3" s="12"/>
      <c r="U3" s="12"/>
      <c r="V3" s="12"/>
    </row>
    <row r="4">
      <c r="A4" s="19"/>
      <c r="B4" s="20" t="s">
        <v>64</v>
      </c>
      <c r="C4" s="12"/>
      <c r="D4" s="21"/>
      <c r="E4" s="20" t="s">
        <v>235</v>
      </c>
      <c r="F4" s="12"/>
      <c r="G4" s="12"/>
      <c r="H4" s="12"/>
      <c r="I4" s="12"/>
      <c r="J4" s="12"/>
      <c r="K4" s="15"/>
      <c r="L4" s="15"/>
      <c r="M4" s="15"/>
      <c r="N4" s="12"/>
      <c r="O4" s="12"/>
      <c r="P4" s="12"/>
      <c r="Q4" s="12"/>
      <c r="R4" s="12"/>
      <c r="S4" s="12"/>
      <c r="T4" s="12"/>
      <c r="U4" s="12"/>
      <c r="V4" s="12"/>
    </row>
    <row r="5">
      <c r="A5" s="19"/>
      <c r="B5" s="20" t="s">
        <v>82</v>
      </c>
      <c r="C5" s="12"/>
      <c r="D5" s="21"/>
      <c r="E5" s="20" t="s">
        <v>217</v>
      </c>
      <c r="F5" s="12"/>
      <c r="G5" s="15"/>
      <c r="H5" s="15"/>
      <c r="I5" s="12"/>
      <c r="J5" s="12"/>
      <c r="K5" s="12"/>
      <c r="L5" s="15"/>
      <c r="M5" s="15"/>
      <c r="N5" s="12"/>
      <c r="O5" s="12"/>
      <c r="P5" s="12"/>
      <c r="Q5" s="12"/>
      <c r="R5" s="12"/>
      <c r="S5" s="12"/>
      <c r="T5" s="12"/>
      <c r="U5" s="12"/>
      <c r="V5" s="12"/>
    </row>
    <row r="6">
      <c r="A6" s="19"/>
      <c r="B6" s="20" t="s">
        <v>109</v>
      </c>
      <c r="C6" s="12"/>
      <c r="D6" s="21"/>
      <c r="E6" s="20" t="s">
        <v>151</v>
      </c>
      <c r="F6" s="12"/>
      <c r="G6" s="12"/>
      <c r="H6" s="12"/>
      <c r="I6" s="12"/>
      <c r="J6" s="12"/>
      <c r="K6" s="12"/>
      <c r="L6" s="12"/>
      <c r="M6" s="15"/>
      <c r="N6" s="12"/>
      <c r="O6" s="12"/>
      <c r="P6" s="12"/>
      <c r="Q6" s="12"/>
      <c r="R6" s="12"/>
      <c r="S6" s="12"/>
      <c r="T6" s="12"/>
      <c r="U6" s="12"/>
      <c r="V6" s="12"/>
    </row>
    <row r="7">
      <c r="A7" s="22"/>
      <c r="B7" s="23" t="s">
        <v>121</v>
      </c>
      <c r="C7" s="12"/>
      <c r="D7" s="24"/>
      <c r="E7" s="25" t="s">
        <v>154</v>
      </c>
      <c r="F7" s="12"/>
      <c r="G7" s="12"/>
      <c r="H7" s="12"/>
      <c r="I7" s="12"/>
      <c r="J7" s="12"/>
      <c r="K7" s="12"/>
      <c r="L7" s="15"/>
      <c r="M7" s="15"/>
      <c r="N7" s="12"/>
      <c r="O7" s="12"/>
      <c r="P7" s="12"/>
      <c r="Q7" s="12"/>
      <c r="R7" s="12"/>
      <c r="S7" s="12"/>
      <c r="T7" s="12"/>
      <c r="U7" s="12"/>
      <c r="V7" s="12"/>
    </row>
    <row r="8">
      <c r="A8" s="12"/>
      <c r="B8" s="12"/>
      <c r="C8" s="12"/>
      <c r="D8" s="15"/>
      <c r="E8" s="26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</row>
    <row r="9">
      <c r="A9" s="27" t="s">
        <v>247</v>
      </c>
      <c r="B9" s="17" t="s">
        <v>28</v>
      </c>
      <c r="C9" s="12"/>
      <c r="D9" s="18" t="s">
        <v>263</v>
      </c>
      <c r="E9" s="17" t="s">
        <v>193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</row>
    <row r="10">
      <c r="A10" s="21"/>
      <c r="B10" s="20" t="s">
        <v>85</v>
      </c>
      <c r="C10" s="12"/>
      <c r="D10" s="21"/>
      <c r="E10" s="20" t="s">
        <v>169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r="11" ht="15.0" customHeight="1">
      <c r="A11" s="21"/>
      <c r="B11" s="20" t="s">
        <v>88</v>
      </c>
      <c r="C11" s="12"/>
      <c r="D11" s="21"/>
      <c r="E11" s="20" t="s">
        <v>175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r="12" ht="15.0" customHeight="1">
      <c r="A12" s="21"/>
      <c r="B12" s="20" t="s">
        <v>124</v>
      </c>
      <c r="C12" s="12"/>
      <c r="D12" s="21"/>
      <c r="E12" s="20" t="s">
        <v>211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</row>
    <row r="13" ht="15.0" customHeight="1">
      <c r="A13" s="24"/>
      <c r="B13" s="25" t="s">
        <v>43</v>
      </c>
      <c r="C13" s="12"/>
      <c r="D13" s="24"/>
      <c r="E13" s="25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</row>
    <row r="14">
      <c r="A14" s="12"/>
      <c r="B14" s="26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</row>
    <row r="15">
      <c r="A15" s="16" t="s">
        <v>248</v>
      </c>
      <c r="B15" s="17" t="s">
        <v>127</v>
      </c>
      <c r="C15" s="12"/>
      <c r="D15" s="28" t="s">
        <v>264</v>
      </c>
      <c r="E15" s="17" t="s">
        <v>205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</row>
    <row r="16">
      <c r="A16" s="19"/>
      <c r="B16" s="20" t="s">
        <v>25</v>
      </c>
      <c r="C16" s="12"/>
      <c r="D16" s="19"/>
      <c r="E16" s="20" t="s">
        <v>172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29"/>
      <c r="Q16" s="12"/>
      <c r="R16" s="12"/>
      <c r="S16" s="12"/>
      <c r="T16" s="12"/>
      <c r="U16" s="12"/>
      <c r="V16" s="12"/>
    </row>
    <row r="17">
      <c r="A17" s="19"/>
      <c r="B17" s="20" t="s">
        <v>79</v>
      </c>
      <c r="C17" s="12"/>
      <c r="D17" s="19"/>
      <c r="E17" s="20" t="s">
        <v>157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>
      <c r="A18" s="19"/>
      <c r="B18" s="20" t="s">
        <v>61</v>
      </c>
      <c r="C18" s="12"/>
      <c r="D18" s="19"/>
      <c r="E18" s="20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</row>
    <row r="19">
      <c r="A19" s="22"/>
      <c r="B19" s="25" t="s">
        <v>46</v>
      </c>
      <c r="C19" s="12"/>
      <c r="D19" s="22"/>
      <c r="E19" s="25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</row>
    <row r="20">
      <c r="A20" s="12"/>
      <c r="B20" s="12"/>
      <c r="C20" s="12"/>
      <c r="F20" s="12"/>
      <c r="G20" s="12"/>
      <c r="H20" s="12"/>
      <c r="I20" s="12"/>
      <c r="J20" s="29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</row>
    <row r="21">
      <c r="A21" s="16" t="s">
        <v>249</v>
      </c>
      <c r="B21" s="17" t="s">
        <v>130</v>
      </c>
      <c r="C21" s="12"/>
      <c r="D21" s="18" t="s">
        <v>265</v>
      </c>
      <c r="E21" s="17" t="s">
        <v>208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</row>
    <row r="22">
      <c r="A22" s="19"/>
      <c r="B22" s="20" t="s">
        <v>37</v>
      </c>
      <c r="C22" s="12"/>
      <c r="D22" s="21"/>
      <c r="E22" s="20" t="s">
        <v>196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  <row r="23">
      <c r="A23" s="19"/>
      <c r="B23" s="20" t="s">
        <v>34</v>
      </c>
      <c r="C23" s="12"/>
      <c r="D23" s="21"/>
      <c r="E23" s="20" t="s">
        <v>166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</row>
    <row r="24">
      <c r="A24" s="19"/>
      <c r="B24" s="20" t="s">
        <v>19</v>
      </c>
      <c r="C24" s="12"/>
      <c r="D24" s="21"/>
      <c r="E24" s="20" t="s">
        <v>241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</row>
    <row r="25" ht="15.75" customHeight="1">
      <c r="A25" s="22"/>
      <c r="B25" s="25"/>
      <c r="C25" s="12"/>
      <c r="D25" s="24"/>
      <c r="E25" s="25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</row>
    <row r="27" ht="15.75" customHeight="1">
      <c r="A27" s="27" t="s">
        <v>250</v>
      </c>
      <c r="B27" s="17" t="s">
        <v>40</v>
      </c>
      <c r="C27" s="12"/>
      <c r="D27" s="18" t="s">
        <v>266</v>
      </c>
      <c r="E27" s="17" t="s">
        <v>136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</row>
    <row r="28" ht="15.75" customHeight="1">
      <c r="A28" s="21"/>
      <c r="B28" s="20" t="s">
        <v>55</v>
      </c>
      <c r="C28" s="12"/>
      <c r="D28" s="21"/>
      <c r="E28" s="20" t="s">
        <v>226</v>
      </c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</row>
    <row r="29" ht="15.75" customHeight="1">
      <c r="A29" s="21"/>
      <c r="B29" s="20" t="s">
        <v>22</v>
      </c>
      <c r="C29" s="12"/>
      <c r="D29" s="21"/>
      <c r="E29" s="20" t="s">
        <v>163</v>
      </c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</row>
    <row r="30" ht="15.75" customHeight="1">
      <c r="A30" s="21"/>
      <c r="B30" s="20" t="s">
        <v>52</v>
      </c>
      <c r="C30" s="12"/>
      <c r="D30" s="21"/>
      <c r="E30" s="20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</row>
    <row r="31" ht="15.0" customHeight="1">
      <c r="A31" s="24"/>
      <c r="B31" s="25"/>
      <c r="C31" s="12"/>
      <c r="D31" s="24"/>
      <c r="E31" s="25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</row>
    <row r="33" ht="15.75" customHeight="1">
      <c r="A33" s="27" t="s">
        <v>251</v>
      </c>
      <c r="B33" s="17" t="s">
        <v>7</v>
      </c>
      <c r="C33" s="12"/>
      <c r="D33" s="18" t="s">
        <v>267</v>
      </c>
      <c r="E33" s="17" t="s">
        <v>142</v>
      </c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</row>
    <row r="34" ht="15.75" customHeight="1">
      <c r="A34" s="21"/>
      <c r="B34" s="20" t="s">
        <v>94</v>
      </c>
      <c r="C34" s="12"/>
      <c r="D34" s="21"/>
      <c r="E34" s="20" t="s">
        <v>232</v>
      </c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</row>
    <row r="35" ht="15.75" customHeight="1">
      <c r="A35" s="21"/>
      <c r="B35" s="20" t="s">
        <v>91</v>
      </c>
      <c r="C35" s="12"/>
      <c r="D35" s="21"/>
      <c r="E35" s="20" t="s">
        <v>220</v>
      </c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 ht="15.75" customHeight="1">
      <c r="A36" s="21"/>
      <c r="B36" s="20" t="s">
        <v>100</v>
      </c>
      <c r="C36" s="12"/>
      <c r="D36" s="21"/>
      <c r="E36" s="20" t="s">
        <v>190</v>
      </c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7" ht="15.75" customHeight="1">
      <c r="A37" s="24"/>
      <c r="B37" s="25"/>
      <c r="C37" s="12"/>
      <c r="D37" s="24"/>
      <c r="E37" s="30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</row>
    <row r="39">
      <c r="A39" s="27" t="s">
        <v>252</v>
      </c>
      <c r="B39" s="17" t="s">
        <v>103</v>
      </c>
      <c r="C39" s="12"/>
      <c r="D39" s="18" t="s">
        <v>268</v>
      </c>
      <c r="E39" s="17" t="s">
        <v>244</v>
      </c>
    </row>
    <row r="40">
      <c r="A40" s="21"/>
      <c r="B40" s="20" t="s">
        <v>16</v>
      </c>
      <c r="C40" s="12"/>
      <c r="D40" s="21"/>
      <c r="E40" s="20" t="s">
        <v>148</v>
      </c>
    </row>
    <row r="41">
      <c r="A41" s="21"/>
      <c r="B41" s="20" t="s">
        <v>73</v>
      </c>
      <c r="C41" s="12"/>
      <c r="D41" s="21"/>
      <c r="E41" s="20" t="s">
        <v>238</v>
      </c>
    </row>
    <row r="42">
      <c r="A42" s="21"/>
      <c r="B42" s="20" t="s">
        <v>58</v>
      </c>
      <c r="C42" s="12"/>
      <c r="D42" s="21"/>
      <c r="E42" s="20" t="s">
        <v>181</v>
      </c>
    </row>
    <row r="43" ht="15.75" customHeight="1">
      <c r="A43" s="24"/>
      <c r="B43" s="30"/>
      <c r="C43" s="12"/>
      <c r="D43" s="24"/>
      <c r="E43" s="30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</row>
    <row r="44" ht="15.75" customHeight="1"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</row>
    <row r="45" ht="15.75" customHeight="1">
      <c r="A45" s="18" t="s">
        <v>253</v>
      </c>
      <c r="B45" s="17" t="s">
        <v>13</v>
      </c>
      <c r="C45" s="12"/>
      <c r="D45" s="18" t="s">
        <v>269</v>
      </c>
      <c r="E45" s="17" t="s">
        <v>223</v>
      </c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</row>
    <row r="46" ht="15.75" customHeight="1">
      <c r="A46" s="21"/>
      <c r="B46" s="20" t="s">
        <v>112</v>
      </c>
      <c r="C46" s="12"/>
      <c r="D46" s="21"/>
      <c r="E46" s="20" t="s">
        <v>160</v>
      </c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</row>
    <row r="47" ht="15.75" customHeight="1">
      <c r="A47" s="21"/>
      <c r="B47" s="20" t="s">
        <v>97</v>
      </c>
      <c r="C47" s="12"/>
      <c r="D47" s="21"/>
      <c r="E47" s="20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</row>
    <row r="48" ht="15.75" customHeight="1">
      <c r="A48" s="21"/>
      <c r="B48" s="20" t="s">
        <v>49</v>
      </c>
      <c r="C48" s="12"/>
      <c r="D48" s="21"/>
      <c r="E48" s="20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</row>
    <row r="49" ht="15.75" customHeight="1">
      <c r="A49" s="24"/>
      <c r="B49" s="30"/>
      <c r="C49" s="12"/>
      <c r="D49" s="24"/>
      <c r="E49" s="25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</row>
    <row r="50" ht="15.75" customHeight="1">
      <c r="A50" s="12"/>
      <c r="B50" s="12"/>
      <c r="C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</row>
    <row r="51" ht="15.75" customHeight="1">
      <c r="A51" s="18" t="s">
        <v>254</v>
      </c>
      <c r="B51" s="17" t="s">
        <v>118</v>
      </c>
      <c r="C51" s="12"/>
      <c r="D51" s="18" t="s">
        <v>270</v>
      </c>
      <c r="E51" s="17" t="s">
        <v>145</v>
      </c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</row>
    <row r="52" ht="15.75" customHeight="1">
      <c r="A52" s="21"/>
      <c r="B52" s="20" t="s">
        <v>133</v>
      </c>
      <c r="C52" s="12"/>
      <c r="D52" s="21"/>
      <c r="E52" s="20" t="s">
        <v>199</v>
      </c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</row>
    <row r="53" ht="15.75" customHeight="1">
      <c r="A53" s="21"/>
      <c r="B53" s="20" t="s">
        <v>76</v>
      </c>
      <c r="C53" s="12"/>
      <c r="D53" s="21"/>
      <c r="E53" s="20" t="s">
        <v>184</v>
      </c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</row>
    <row r="54" ht="15.75" customHeight="1">
      <c r="A54" s="21"/>
      <c r="B54" s="20" t="s">
        <v>31</v>
      </c>
      <c r="C54" s="12"/>
      <c r="D54" s="21"/>
      <c r="E54" s="20" t="s">
        <v>139</v>
      </c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</row>
    <row r="55" ht="15.75" customHeight="1">
      <c r="A55" s="24"/>
      <c r="B55" s="30"/>
      <c r="C55" s="12"/>
      <c r="D55" s="24"/>
      <c r="E55" s="25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</row>
    <row r="57" ht="15.75" customHeight="1">
      <c r="A57" s="18" t="s">
        <v>255</v>
      </c>
      <c r="B57" s="17" t="s">
        <v>115</v>
      </c>
      <c r="C57" s="12"/>
      <c r="D57" s="18" t="s">
        <v>271</v>
      </c>
      <c r="E57" s="17" t="s">
        <v>178</v>
      </c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</row>
    <row r="58" ht="15.75" customHeight="1">
      <c r="A58" s="21"/>
      <c r="B58" s="20" t="s">
        <v>67</v>
      </c>
      <c r="C58" s="12"/>
      <c r="D58" s="21"/>
      <c r="E58" s="20" t="s">
        <v>202</v>
      </c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</row>
    <row r="59" ht="15.75" customHeight="1">
      <c r="A59" s="21"/>
      <c r="B59" s="20" t="s">
        <v>10</v>
      </c>
      <c r="C59" s="12"/>
      <c r="D59" s="21"/>
      <c r="E59" s="20" t="s">
        <v>214</v>
      </c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</row>
    <row r="60" ht="15.75" customHeight="1">
      <c r="A60" s="21"/>
      <c r="B60" s="20" t="s">
        <v>106</v>
      </c>
      <c r="C60" s="12"/>
      <c r="D60" s="21"/>
      <c r="E60" s="20" t="s">
        <v>229</v>
      </c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</row>
    <row r="61" ht="15.75" customHeight="1">
      <c r="A61" s="24"/>
      <c r="B61" s="30"/>
      <c r="C61" s="12"/>
      <c r="D61" s="24"/>
      <c r="E61" s="25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</row>
    <row r="1001" ht="15.75" customHeight="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</row>
    <row r="1002" ht="15.75" customHeight="1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</row>
    <row r="1003" ht="15.75" customHeight="1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</row>
    <row r="1004" ht="15.75" customHeight="1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</row>
    <row r="1005" ht="15.75" customHeight="1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</row>
    <row r="1006" ht="15.75" customHeight="1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</row>
    <row r="1007" ht="15.75" customHeight="1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11.57"/>
    <col customWidth="1" min="2" max="2" width="48.43"/>
    <col customWidth="1" min="3" max="3" width="11.0"/>
    <col customWidth="1" min="4" max="4" width="9.86"/>
    <col customWidth="1" min="5" max="8" width="10.71"/>
    <col customWidth="1" min="9" max="9" width="8.57"/>
    <col customWidth="1" min="10" max="10" width="14.86"/>
  </cols>
  <sheetData>
    <row r="1">
      <c r="A1" s="1" t="s">
        <v>0</v>
      </c>
      <c r="B1" s="2" t="s">
        <v>1</v>
      </c>
      <c r="C1" s="4" t="s">
        <v>4</v>
      </c>
      <c r="D1" s="4" t="s">
        <v>272</v>
      </c>
      <c r="E1" s="31" t="s">
        <v>273</v>
      </c>
      <c r="F1" s="31" t="s">
        <v>274</v>
      </c>
      <c r="G1" s="31" t="s">
        <v>275</v>
      </c>
      <c r="H1" s="32" t="s">
        <v>276</v>
      </c>
      <c r="I1" s="32" t="s">
        <v>277</v>
      </c>
      <c r="J1" s="33" t="s">
        <v>278</v>
      </c>
    </row>
    <row r="2">
      <c r="A2" s="6" t="s">
        <v>6</v>
      </c>
      <c r="B2" s="6" t="s">
        <v>7</v>
      </c>
      <c r="C2" s="7">
        <f>VLOOKUP(B2,'Grupos 1'!B:C,2,FALSE)</f>
        <v>6</v>
      </c>
      <c r="D2" s="7">
        <v>1.0</v>
      </c>
      <c r="E2" s="34" t="s">
        <v>279</v>
      </c>
      <c r="F2" s="34" t="s">
        <v>279</v>
      </c>
      <c r="G2" s="34" t="s">
        <v>279</v>
      </c>
      <c r="H2" s="34" t="s">
        <v>279</v>
      </c>
      <c r="I2" s="34" t="s">
        <v>279</v>
      </c>
      <c r="J2" s="35">
        <f t="shared" ref="J2:J81" si="1">COUNTIF(E2:I2,"X")/(COUNTIF(E2:I2,"X")+COUNTIF(E2:I2,"I"))</f>
        <v>1</v>
      </c>
    </row>
    <row r="3">
      <c r="A3" s="6" t="s">
        <v>9</v>
      </c>
      <c r="B3" s="6" t="s">
        <v>10</v>
      </c>
      <c r="C3" s="7">
        <f>VLOOKUP(B3,'Grupos 1'!B:C,2,FALSE)</f>
        <v>10</v>
      </c>
      <c r="D3" s="7">
        <v>1.0</v>
      </c>
      <c r="E3" s="34" t="s">
        <v>279</v>
      </c>
      <c r="F3" s="34" t="s">
        <v>279</v>
      </c>
      <c r="G3" s="34" t="s">
        <v>279</v>
      </c>
      <c r="H3" s="34" t="s">
        <v>279</v>
      </c>
      <c r="I3" s="34" t="s">
        <v>279</v>
      </c>
      <c r="J3" s="35">
        <f t="shared" si="1"/>
        <v>1</v>
      </c>
    </row>
    <row r="4">
      <c r="A4" s="6" t="s">
        <v>12</v>
      </c>
      <c r="B4" s="6" t="s">
        <v>13</v>
      </c>
      <c r="C4" s="7">
        <f>VLOOKUP(B4,'Grupos 1'!B:C,2,FALSE)</f>
        <v>8</v>
      </c>
      <c r="D4" s="7">
        <v>1.0</v>
      </c>
      <c r="E4" s="34" t="s">
        <v>279</v>
      </c>
      <c r="F4" s="34" t="s">
        <v>279</v>
      </c>
      <c r="G4" s="34" t="s">
        <v>279</v>
      </c>
      <c r="H4" s="34" t="s">
        <v>279</v>
      </c>
      <c r="I4" s="34" t="s">
        <v>279</v>
      </c>
      <c r="J4" s="35">
        <f t="shared" si="1"/>
        <v>1</v>
      </c>
    </row>
    <row r="5">
      <c r="A5" s="6" t="s">
        <v>15</v>
      </c>
      <c r="B5" s="6" t="s">
        <v>16</v>
      </c>
      <c r="C5" s="7">
        <f>VLOOKUP(B5,'Grupos 1'!B:C,2,FALSE)</f>
        <v>7</v>
      </c>
      <c r="D5" s="7">
        <v>1.0</v>
      </c>
      <c r="E5" s="34" t="s">
        <v>279</v>
      </c>
      <c r="F5" s="34" t="s">
        <v>279</v>
      </c>
      <c r="G5" s="34" t="s">
        <v>279</v>
      </c>
      <c r="H5" s="34" t="s">
        <v>279</v>
      </c>
      <c r="I5" s="34" t="s">
        <v>279</v>
      </c>
      <c r="J5" s="35">
        <f t="shared" si="1"/>
        <v>1</v>
      </c>
    </row>
    <row r="6">
      <c r="A6" s="6" t="s">
        <v>18</v>
      </c>
      <c r="B6" s="6" t="s">
        <v>19</v>
      </c>
      <c r="C6" s="7">
        <f>VLOOKUP(B6,'Grupos 1'!B:C,2,FALSE)</f>
        <v>4</v>
      </c>
      <c r="D6" s="7">
        <v>1.0</v>
      </c>
      <c r="E6" s="34" t="s">
        <v>279</v>
      </c>
      <c r="F6" s="34" t="s">
        <v>279</v>
      </c>
      <c r="G6" s="34" t="s">
        <v>279</v>
      </c>
      <c r="H6" s="34" t="s">
        <v>279</v>
      </c>
      <c r="I6" s="34" t="s">
        <v>280</v>
      </c>
      <c r="J6" s="35">
        <f t="shared" si="1"/>
        <v>1</v>
      </c>
    </row>
    <row r="7">
      <c r="A7" s="6" t="s">
        <v>21</v>
      </c>
      <c r="B7" s="6" t="s">
        <v>22</v>
      </c>
      <c r="C7" s="7">
        <f>VLOOKUP(B7,'Grupos 1'!B:C,2,FALSE)</f>
        <v>5</v>
      </c>
      <c r="D7" s="7">
        <v>1.0</v>
      </c>
      <c r="E7" s="34" t="s">
        <v>279</v>
      </c>
      <c r="F7" s="34" t="s">
        <v>279</v>
      </c>
      <c r="G7" s="34" t="s">
        <v>279</v>
      </c>
      <c r="H7" s="34" t="s">
        <v>279</v>
      </c>
      <c r="I7" s="34" t="s">
        <v>279</v>
      </c>
      <c r="J7" s="35">
        <f t="shared" si="1"/>
        <v>1</v>
      </c>
    </row>
    <row r="8">
      <c r="A8" s="6" t="s">
        <v>24</v>
      </c>
      <c r="B8" s="6" t="s">
        <v>25</v>
      </c>
      <c r="C8" s="7">
        <f>VLOOKUP(B8,'Grupos 1'!B:C,2,FALSE)</f>
        <v>3</v>
      </c>
      <c r="D8" s="7">
        <v>1.0</v>
      </c>
      <c r="E8" s="34" t="s">
        <v>279</v>
      </c>
      <c r="F8" s="34" t="s">
        <v>279</v>
      </c>
      <c r="G8" s="34" t="s">
        <v>279</v>
      </c>
      <c r="H8" s="34" t="s">
        <v>279</v>
      </c>
      <c r="I8" s="34" t="s">
        <v>279</v>
      </c>
      <c r="J8" s="35">
        <f t="shared" si="1"/>
        <v>1</v>
      </c>
    </row>
    <row r="9">
      <c r="A9" s="6" t="s">
        <v>27</v>
      </c>
      <c r="B9" s="6" t="s">
        <v>28</v>
      </c>
      <c r="C9" s="7">
        <f>VLOOKUP(B9,'Grupos 1'!B:C,2,FALSE)</f>
        <v>2</v>
      </c>
      <c r="D9" s="7">
        <v>1.0</v>
      </c>
      <c r="E9" s="34" t="s">
        <v>279</v>
      </c>
      <c r="F9" s="34" t="s">
        <v>279</v>
      </c>
      <c r="G9" s="34" t="s">
        <v>279</v>
      </c>
      <c r="H9" s="34" t="s">
        <v>279</v>
      </c>
      <c r="I9" s="34" t="s">
        <v>279</v>
      </c>
      <c r="J9" s="35">
        <f t="shared" si="1"/>
        <v>1</v>
      </c>
    </row>
    <row r="10">
      <c r="A10" s="6" t="s">
        <v>30</v>
      </c>
      <c r="B10" s="6" t="s">
        <v>31</v>
      </c>
      <c r="C10" s="7">
        <f>VLOOKUP(B10,'Grupos 1'!B:C,2,FALSE)</f>
        <v>9</v>
      </c>
      <c r="D10" s="7">
        <v>1.0</v>
      </c>
      <c r="E10" s="34" t="s">
        <v>279</v>
      </c>
      <c r="F10" s="34" t="s">
        <v>279</v>
      </c>
      <c r="G10" s="34" t="s">
        <v>280</v>
      </c>
      <c r="H10" s="34" t="s">
        <v>279</v>
      </c>
      <c r="I10" s="34" t="s">
        <v>279</v>
      </c>
      <c r="J10" s="35">
        <f t="shared" si="1"/>
        <v>1</v>
      </c>
    </row>
    <row r="11">
      <c r="A11" s="6" t="s">
        <v>33</v>
      </c>
      <c r="B11" s="6" t="s">
        <v>34</v>
      </c>
      <c r="C11" s="7">
        <f>VLOOKUP(B11,'Grupos 1'!B:C,2,FALSE)</f>
        <v>4</v>
      </c>
      <c r="D11" s="7">
        <v>1.0</v>
      </c>
      <c r="E11" s="34" t="s">
        <v>279</v>
      </c>
      <c r="F11" s="34" t="s">
        <v>279</v>
      </c>
      <c r="G11" s="34" t="s">
        <v>279</v>
      </c>
      <c r="H11" s="34" t="s">
        <v>279</v>
      </c>
      <c r="I11" s="34" t="s">
        <v>279</v>
      </c>
      <c r="J11" s="35">
        <f t="shared" si="1"/>
        <v>1</v>
      </c>
    </row>
    <row r="12">
      <c r="A12" s="6" t="s">
        <v>36</v>
      </c>
      <c r="B12" s="6" t="s">
        <v>37</v>
      </c>
      <c r="C12" s="7">
        <f>VLOOKUP(B12,'Grupos 1'!B:C,2,FALSE)</f>
        <v>4</v>
      </c>
      <c r="D12" s="7">
        <v>1.0</v>
      </c>
      <c r="E12" s="34" t="s">
        <v>279</v>
      </c>
      <c r="F12" s="34" t="s">
        <v>279</v>
      </c>
      <c r="G12" s="34" t="s">
        <v>279</v>
      </c>
      <c r="H12" s="34" t="s">
        <v>279</v>
      </c>
      <c r="I12" s="34" t="s">
        <v>279</v>
      </c>
      <c r="J12" s="35">
        <f t="shared" si="1"/>
        <v>1</v>
      </c>
    </row>
    <row r="13">
      <c r="A13" s="6" t="s">
        <v>39</v>
      </c>
      <c r="B13" s="6" t="s">
        <v>40</v>
      </c>
      <c r="C13" s="7">
        <f>VLOOKUP(B13,'Grupos 1'!B:C,2,FALSE)</f>
        <v>5</v>
      </c>
      <c r="D13" s="7">
        <v>1.0</v>
      </c>
      <c r="E13" s="34" t="s">
        <v>279</v>
      </c>
      <c r="F13" s="34" t="s">
        <v>279</v>
      </c>
      <c r="G13" s="34" t="s">
        <v>279</v>
      </c>
      <c r="H13" s="34" t="s">
        <v>279</v>
      </c>
      <c r="I13" s="34" t="s">
        <v>279</v>
      </c>
      <c r="J13" s="35">
        <f t="shared" si="1"/>
        <v>1</v>
      </c>
    </row>
    <row r="14">
      <c r="A14" s="6" t="s">
        <v>42</v>
      </c>
      <c r="B14" s="6" t="s">
        <v>43</v>
      </c>
      <c r="C14" s="7">
        <f>VLOOKUP(B14,'Grupos 1'!B:C,2,FALSE)</f>
        <v>2</v>
      </c>
      <c r="D14" s="7">
        <v>1.0</v>
      </c>
      <c r="E14" s="34" t="s">
        <v>279</v>
      </c>
      <c r="F14" s="34" t="s">
        <v>279</v>
      </c>
      <c r="G14" s="34" t="s">
        <v>279</v>
      </c>
      <c r="H14" s="34" t="s">
        <v>279</v>
      </c>
      <c r="I14" s="34" t="s">
        <v>279</v>
      </c>
      <c r="J14" s="35">
        <f t="shared" si="1"/>
        <v>1</v>
      </c>
    </row>
    <row r="15">
      <c r="A15" s="6" t="s">
        <v>45</v>
      </c>
      <c r="B15" s="6" t="s">
        <v>46</v>
      </c>
      <c r="C15" s="7">
        <f>VLOOKUP(B15,'Grupos 1'!B:C,2,FALSE)</f>
        <v>3</v>
      </c>
      <c r="D15" s="7">
        <v>1.0</v>
      </c>
      <c r="E15" s="34" t="s">
        <v>279</v>
      </c>
      <c r="F15" s="34" t="s">
        <v>279</v>
      </c>
      <c r="G15" s="34" t="s">
        <v>279</v>
      </c>
      <c r="H15" s="34" t="s">
        <v>279</v>
      </c>
      <c r="I15" s="34" t="s">
        <v>279</v>
      </c>
      <c r="J15" s="35">
        <f t="shared" si="1"/>
        <v>1</v>
      </c>
    </row>
    <row r="16">
      <c r="A16" s="6" t="s">
        <v>48</v>
      </c>
      <c r="B16" s="6" t="s">
        <v>49</v>
      </c>
      <c r="C16" s="7">
        <f>VLOOKUP(B16,'Grupos 1'!B:C,2,FALSE)</f>
        <v>8</v>
      </c>
      <c r="D16" s="7">
        <v>1.0</v>
      </c>
      <c r="E16" s="34" t="s">
        <v>279</v>
      </c>
      <c r="F16" s="34" t="s">
        <v>279</v>
      </c>
      <c r="G16" s="34" t="s">
        <v>279</v>
      </c>
      <c r="H16" s="34" t="s">
        <v>279</v>
      </c>
      <c r="I16" s="34" t="s">
        <v>279</v>
      </c>
      <c r="J16" s="35">
        <f t="shared" si="1"/>
        <v>1</v>
      </c>
    </row>
    <row r="17">
      <c r="A17" s="6" t="s">
        <v>51</v>
      </c>
      <c r="B17" s="6" t="s">
        <v>52</v>
      </c>
      <c r="C17" s="7">
        <f>VLOOKUP(B17,'Grupos 1'!B:C,2,FALSE)</f>
        <v>5</v>
      </c>
      <c r="D17" s="7">
        <v>1.0</v>
      </c>
      <c r="E17" s="34" t="s">
        <v>279</v>
      </c>
      <c r="F17" s="34" t="s">
        <v>279</v>
      </c>
      <c r="G17" s="34" t="s">
        <v>279</v>
      </c>
      <c r="H17" s="34" t="s">
        <v>279</v>
      </c>
      <c r="I17" s="34" t="s">
        <v>281</v>
      </c>
      <c r="J17" s="35">
        <f t="shared" si="1"/>
        <v>0.8</v>
      </c>
    </row>
    <row r="18">
      <c r="A18" s="6" t="s">
        <v>54</v>
      </c>
      <c r="B18" s="6" t="s">
        <v>55</v>
      </c>
      <c r="C18" s="7">
        <f>VLOOKUP(B18,'Grupos 1'!B:C,2,FALSE)</f>
        <v>5</v>
      </c>
      <c r="D18" s="7">
        <v>1.0</v>
      </c>
      <c r="E18" s="34" t="s">
        <v>279</v>
      </c>
      <c r="F18" s="34" t="s">
        <v>279</v>
      </c>
      <c r="G18" s="34" t="s">
        <v>279</v>
      </c>
      <c r="H18" s="34" t="s">
        <v>279</v>
      </c>
      <c r="I18" s="34" t="s">
        <v>279</v>
      </c>
      <c r="J18" s="35">
        <f t="shared" si="1"/>
        <v>1</v>
      </c>
    </row>
    <row r="19">
      <c r="A19" s="6" t="s">
        <v>57</v>
      </c>
      <c r="B19" s="6" t="s">
        <v>58</v>
      </c>
      <c r="C19" s="7">
        <f>VLOOKUP(B19,'Grupos 1'!B:C,2,FALSE)</f>
        <v>7</v>
      </c>
      <c r="D19" s="7">
        <v>1.0</v>
      </c>
      <c r="E19" s="34" t="s">
        <v>281</v>
      </c>
      <c r="F19" s="34" t="s">
        <v>279</v>
      </c>
      <c r="G19" s="34" t="s">
        <v>279</v>
      </c>
      <c r="H19" s="34" t="s">
        <v>279</v>
      </c>
      <c r="I19" s="34" t="s">
        <v>279</v>
      </c>
      <c r="J19" s="35">
        <f t="shared" si="1"/>
        <v>0.8</v>
      </c>
    </row>
    <row r="20">
      <c r="A20" s="6" t="s">
        <v>60</v>
      </c>
      <c r="B20" s="6" t="s">
        <v>61</v>
      </c>
      <c r="C20" s="7">
        <f>VLOOKUP(B20,'Grupos 1'!B:C,2,FALSE)</f>
        <v>3</v>
      </c>
      <c r="D20" s="7">
        <v>1.0</v>
      </c>
      <c r="E20" s="34" t="s">
        <v>279</v>
      </c>
      <c r="F20" s="34" t="s">
        <v>279</v>
      </c>
      <c r="G20" s="34" t="s">
        <v>279</v>
      </c>
      <c r="H20" s="34" t="s">
        <v>279</v>
      </c>
      <c r="I20" s="34" t="s">
        <v>279</v>
      </c>
      <c r="J20" s="35">
        <f t="shared" si="1"/>
        <v>1</v>
      </c>
    </row>
    <row r="21" ht="15.75" customHeight="1">
      <c r="A21" s="6" t="s">
        <v>63</v>
      </c>
      <c r="B21" s="6" t="s">
        <v>64</v>
      </c>
      <c r="C21" s="7">
        <f>VLOOKUP(B21,'Grupos 1'!B:C,2,FALSE)</f>
        <v>1</v>
      </c>
      <c r="D21" s="7">
        <v>1.0</v>
      </c>
      <c r="E21" s="34" t="s">
        <v>279</v>
      </c>
      <c r="F21" s="34" t="s">
        <v>279</v>
      </c>
      <c r="G21" s="34" t="s">
        <v>279</v>
      </c>
      <c r="H21" s="34" t="s">
        <v>279</v>
      </c>
      <c r="I21" s="34" t="s">
        <v>279</v>
      </c>
      <c r="J21" s="35">
        <f t="shared" si="1"/>
        <v>1</v>
      </c>
    </row>
    <row r="22" ht="15.75" customHeight="1">
      <c r="A22" s="6" t="s">
        <v>66</v>
      </c>
      <c r="B22" s="6" t="s">
        <v>67</v>
      </c>
      <c r="C22" s="7">
        <f>VLOOKUP(B22,'Grupos 1'!B:C,2,FALSE)</f>
        <v>10</v>
      </c>
      <c r="D22" s="7">
        <v>1.0</v>
      </c>
      <c r="E22" s="34" t="s">
        <v>279</v>
      </c>
      <c r="F22" s="34" t="s">
        <v>279</v>
      </c>
      <c r="G22" s="34" t="s">
        <v>279</v>
      </c>
      <c r="H22" s="34" t="s">
        <v>279</v>
      </c>
      <c r="I22" s="34" t="s">
        <v>279</v>
      </c>
      <c r="J22" s="35">
        <f t="shared" si="1"/>
        <v>1</v>
      </c>
    </row>
    <row r="23" ht="15.75" customHeight="1">
      <c r="A23" s="6" t="s">
        <v>69</v>
      </c>
      <c r="B23" s="6" t="s">
        <v>70</v>
      </c>
      <c r="C23" s="7">
        <f>VLOOKUP(B23,'Grupos 1'!B:C,2,FALSE)</f>
        <v>1</v>
      </c>
      <c r="D23" s="7">
        <v>1.0</v>
      </c>
      <c r="E23" s="34" t="s">
        <v>279</v>
      </c>
      <c r="F23" s="34" t="s">
        <v>279</v>
      </c>
      <c r="G23" s="34" t="s">
        <v>279</v>
      </c>
      <c r="H23" s="34" t="s">
        <v>279</v>
      </c>
      <c r="I23" s="34" t="s">
        <v>281</v>
      </c>
      <c r="J23" s="35">
        <f t="shared" si="1"/>
        <v>0.8</v>
      </c>
    </row>
    <row r="24" ht="15.75" customHeight="1">
      <c r="A24" s="6" t="s">
        <v>72</v>
      </c>
      <c r="B24" s="6" t="s">
        <v>73</v>
      </c>
      <c r="C24" s="7">
        <f>VLOOKUP(B24,'Grupos 1'!B:C,2,FALSE)</f>
        <v>7</v>
      </c>
      <c r="D24" s="7">
        <v>1.0</v>
      </c>
      <c r="E24" s="34" t="s">
        <v>279</v>
      </c>
      <c r="F24" s="34" t="s">
        <v>279</v>
      </c>
      <c r="G24" s="34" t="s">
        <v>279</v>
      </c>
      <c r="H24" s="34" t="s">
        <v>279</v>
      </c>
      <c r="I24" s="34" t="s">
        <v>279</v>
      </c>
      <c r="J24" s="35">
        <f t="shared" si="1"/>
        <v>1</v>
      </c>
    </row>
    <row r="25" ht="15.75" customHeight="1">
      <c r="A25" s="6" t="s">
        <v>75</v>
      </c>
      <c r="B25" s="6" t="s">
        <v>76</v>
      </c>
      <c r="C25" s="7">
        <f>VLOOKUP(B25,'Grupos 1'!B:C,2,FALSE)</f>
        <v>9</v>
      </c>
      <c r="D25" s="7">
        <v>1.0</v>
      </c>
      <c r="E25" s="34" t="s">
        <v>279</v>
      </c>
      <c r="F25" s="34" t="s">
        <v>279</v>
      </c>
      <c r="G25" s="34" t="s">
        <v>279</v>
      </c>
      <c r="H25" s="34" t="s">
        <v>279</v>
      </c>
      <c r="I25" s="34" t="s">
        <v>279</v>
      </c>
      <c r="J25" s="35">
        <f t="shared" si="1"/>
        <v>1</v>
      </c>
    </row>
    <row r="26" ht="15.75" customHeight="1">
      <c r="A26" s="6" t="s">
        <v>78</v>
      </c>
      <c r="B26" s="6" t="s">
        <v>79</v>
      </c>
      <c r="C26" s="7">
        <f>VLOOKUP(B26,'Grupos 1'!B:C,2,FALSE)</f>
        <v>3</v>
      </c>
      <c r="D26" s="7">
        <v>1.0</v>
      </c>
      <c r="E26" s="34" t="s">
        <v>279</v>
      </c>
      <c r="F26" s="34" t="s">
        <v>279</v>
      </c>
      <c r="G26" s="34" t="s">
        <v>279</v>
      </c>
      <c r="H26" s="34" t="s">
        <v>279</v>
      </c>
      <c r="I26" s="34" t="s">
        <v>279</v>
      </c>
      <c r="J26" s="35">
        <f t="shared" si="1"/>
        <v>1</v>
      </c>
    </row>
    <row r="27" ht="15.75" customHeight="1">
      <c r="A27" s="6" t="s">
        <v>81</v>
      </c>
      <c r="B27" s="6" t="s">
        <v>82</v>
      </c>
      <c r="C27" s="7">
        <f>VLOOKUP(B27,'Grupos 1'!B:C,2,FALSE)</f>
        <v>1</v>
      </c>
      <c r="D27" s="7">
        <v>1.0</v>
      </c>
      <c r="E27" s="34" t="s">
        <v>279</v>
      </c>
      <c r="F27" s="34" t="s">
        <v>279</v>
      </c>
      <c r="G27" s="34" t="s">
        <v>280</v>
      </c>
      <c r="H27" s="34" t="s">
        <v>280</v>
      </c>
      <c r="I27" s="34" t="s">
        <v>279</v>
      </c>
      <c r="J27" s="35">
        <f t="shared" si="1"/>
        <v>1</v>
      </c>
    </row>
    <row r="28" ht="15.75" customHeight="1">
      <c r="A28" s="6" t="s">
        <v>84</v>
      </c>
      <c r="B28" s="6" t="s">
        <v>85</v>
      </c>
      <c r="C28" s="7">
        <f>VLOOKUP(B28,'Grupos 1'!B:C,2,FALSE)</f>
        <v>2</v>
      </c>
      <c r="D28" s="7">
        <v>1.0</v>
      </c>
      <c r="E28" s="34" t="s">
        <v>279</v>
      </c>
      <c r="F28" s="34" t="s">
        <v>279</v>
      </c>
      <c r="G28" s="34" t="s">
        <v>279</v>
      </c>
      <c r="H28" s="34" t="s">
        <v>279</v>
      </c>
      <c r="I28" s="34" t="s">
        <v>279</v>
      </c>
      <c r="J28" s="35">
        <f t="shared" si="1"/>
        <v>1</v>
      </c>
    </row>
    <row r="29" ht="15.75" customHeight="1">
      <c r="A29" s="6" t="s">
        <v>87</v>
      </c>
      <c r="B29" s="6" t="s">
        <v>88</v>
      </c>
      <c r="C29" s="7">
        <f>VLOOKUP(B29,'Grupos 1'!B:C,2,FALSE)</f>
        <v>2</v>
      </c>
      <c r="D29" s="7">
        <v>1.0</v>
      </c>
      <c r="E29" s="34" t="s">
        <v>279</v>
      </c>
      <c r="F29" s="34" t="s">
        <v>279</v>
      </c>
      <c r="G29" s="34" t="s">
        <v>279</v>
      </c>
      <c r="H29" s="34" t="s">
        <v>279</v>
      </c>
      <c r="I29" s="34" t="s">
        <v>279</v>
      </c>
      <c r="J29" s="35">
        <f t="shared" si="1"/>
        <v>1</v>
      </c>
    </row>
    <row r="30" ht="15.75" customHeight="1">
      <c r="A30" s="6" t="s">
        <v>90</v>
      </c>
      <c r="B30" s="6" t="s">
        <v>91</v>
      </c>
      <c r="C30" s="7">
        <f>VLOOKUP(B30,'Grupos 1'!B:C,2,FALSE)</f>
        <v>6</v>
      </c>
      <c r="D30" s="7">
        <v>1.0</v>
      </c>
      <c r="E30" s="34" t="s">
        <v>279</v>
      </c>
      <c r="F30" s="34" t="s">
        <v>279</v>
      </c>
      <c r="G30" s="34" t="s">
        <v>279</v>
      </c>
      <c r="H30" s="34" t="s">
        <v>279</v>
      </c>
      <c r="I30" s="34" t="s">
        <v>279</v>
      </c>
      <c r="J30" s="35">
        <f t="shared" si="1"/>
        <v>1</v>
      </c>
    </row>
    <row r="31" ht="15.75" customHeight="1">
      <c r="A31" s="6" t="s">
        <v>93</v>
      </c>
      <c r="B31" s="6" t="s">
        <v>94</v>
      </c>
      <c r="C31" s="7">
        <f>VLOOKUP(B31,'Grupos 1'!B:C,2,FALSE)</f>
        <v>6</v>
      </c>
      <c r="D31" s="7">
        <v>1.0</v>
      </c>
      <c r="E31" s="34" t="s">
        <v>279</v>
      </c>
      <c r="F31" s="34" t="s">
        <v>279</v>
      </c>
      <c r="G31" s="34" t="s">
        <v>279</v>
      </c>
      <c r="H31" s="34" t="s">
        <v>279</v>
      </c>
      <c r="I31" s="34" t="s">
        <v>279</v>
      </c>
      <c r="J31" s="35">
        <f t="shared" si="1"/>
        <v>1</v>
      </c>
    </row>
    <row r="32" ht="15.75" customHeight="1">
      <c r="A32" s="6" t="s">
        <v>96</v>
      </c>
      <c r="B32" s="6" t="s">
        <v>97</v>
      </c>
      <c r="C32" s="7">
        <f>VLOOKUP(B32,'Grupos 1'!B:C,2,FALSE)</f>
        <v>8</v>
      </c>
      <c r="D32" s="7">
        <v>1.0</v>
      </c>
      <c r="E32" s="34" t="s">
        <v>279</v>
      </c>
      <c r="F32" s="34" t="s">
        <v>279</v>
      </c>
      <c r="G32" s="34" t="s">
        <v>279</v>
      </c>
      <c r="H32" s="34" t="s">
        <v>279</v>
      </c>
      <c r="I32" s="34" t="s">
        <v>279</v>
      </c>
      <c r="J32" s="35">
        <f t="shared" si="1"/>
        <v>1</v>
      </c>
    </row>
    <row r="33" ht="15.75" customHeight="1">
      <c r="A33" s="6" t="s">
        <v>99</v>
      </c>
      <c r="B33" s="6" t="s">
        <v>100</v>
      </c>
      <c r="C33" s="7">
        <f>VLOOKUP(B33,'Grupos 1'!B:C,2,FALSE)</f>
        <v>6</v>
      </c>
      <c r="D33" s="7">
        <v>1.0</v>
      </c>
      <c r="E33" s="34" t="s">
        <v>279</v>
      </c>
      <c r="F33" s="34" t="s">
        <v>279</v>
      </c>
      <c r="G33" s="34" t="s">
        <v>279</v>
      </c>
      <c r="H33" s="34" t="s">
        <v>279</v>
      </c>
      <c r="I33" s="34" t="s">
        <v>279</v>
      </c>
      <c r="J33" s="35">
        <f t="shared" si="1"/>
        <v>1</v>
      </c>
    </row>
    <row r="34" ht="15.75" customHeight="1">
      <c r="A34" s="6" t="s">
        <v>102</v>
      </c>
      <c r="B34" s="6" t="s">
        <v>103</v>
      </c>
      <c r="C34" s="7">
        <f>VLOOKUP(B34,'Grupos 1'!B:C,2,FALSE)</f>
        <v>7</v>
      </c>
      <c r="D34" s="7">
        <v>1.0</v>
      </c>
      <c r="E34" s="34" t="s">
        <v>279</v>
      </c>
      <c r="F34" s="34" t="s">
        <v>279</v>
      </c>
      <c r="G34" s="34" t="s">
        <v>279</v>
      </c>
      <c r="H34" s="34" t="s">
        <v>279</v>
      </c>
      <c r="I34" s="34" t="s">
        <v>279</v>
      </c>
      <c r="J34" s="35">
        <f t="shared" si="1"/>
        <v>1</v>
      </c>
    </row>
    <row r="35" ht="15.75" customHeight="1">
      <c r="A35" s="6" t="s">
        <v>105</v>
      </c>
      <c r="B35" s="6" t="s">
        <v>106</v>
      </c>
      <c r="C35" s="7">
        <f>VLOOKUP(B35,'Grupos 1'!B:C,2,FALSE)</f>
        <v>10</v>
      </c>
      <c r="D35" s="7">
        <v>1.0</v>
      </c>
      <c r="E35" s="34" t="s">
        <v>279</v>
      </c>
      <c r="F35" s="34" t="s">
        <v>279</v>
      </c>
      <c r="G35" s="34" t="s">
        <v>279</v>
      </c>
      <c r="H35" s="34" t="s">
        <v>279</v>
      </c>
      <c r="I35" s="34" t="s">
        <v>279</v>
      </c>
      <c r="J35" s="35">
        <f t="shared" si="1"/>
        <v>1</v>
      </c>
    </row>
    <row r="36" ht="15.75" customHeight="1">
      <c r="A36" s="6" t="s">
        <v>108</v>
      </c>
      <c r="B36" s="6" t="s">
        <v>109</v>
      </c>
      <c r="C36" s="7">
        <f>VLOOKUP(B36,'Grupos 1'!B:C,2,FALSE)</f>
        <v>1</v>
      </c>
      <c r="D36" s="7">
        <v>1.0</v>
      </c>
      <c r="E36" s="34" t="s">
        <v>279</v>
      </c>
      <c r="F36" s="34" t="s">
        <v>279</v>
      </c>
      <c r="G36" s="34" t="s">
        <v>280</v>
      </c>
      <c r="H36" s="34" t="s">
        <v>281</v>
      </c>
      <c r="I36" s="34" t="s">
        <v>279</v>
      </c>
      <c r="J36" s="35">
        <f t="shared" si="1"/>
        <v>0.75</v>
      </c>
    </row>
    <row r="37" ht="15.75" customHeight="1">
      <c r="A37" s="6" t="s">
        <v>111</v>
      </c>
      <c r="B37" s="6" t="s">
        <v>112</v>
      </c>
      <c r="C37" s="7">
        <f>VLOOKUP(B37,'Grupos 1'!B:C,2,FALSE)</f>
        <v>8</v>
      </c>
      <c r="D37" s="7">
        <v>1.0</v>
      </c>
      <c r="E37" s="34" t="s">
        <v>279</v>
      </c>
      <c r="F37" s="34" t="s">
        <v>279</v>
      </c>
      <c r="G37" s="34" t="s">
        <v>279</v>
      </c>
      <c r="H37" s="34" t="s">
        <v>279</v>
      </c>
      <c r="I37" s="34" t="s">
        <v>279</v>
      </c>
      <c r="J37" s="35">
        <f t="shared" si="1"/>
        <v>1</v>
      </c>
    </row>
    <row r="38" ht="15.75" customHeight="1">
      <c r="A38" s="6" t="s">
        <v>114</v>
      </c>
      <c r="B38" s="6" t="s">
        <v>115</v>
      </c>
      <c r="C38" s="7">
        <f>VLOOKUP(B38,'Grupos 1'!B:C,2,FALSE)</f>
        <v>10</v>
      </c>
      <c r="D38" s="7">
        <v>1.0</v>
      </c>
      <c r="E38" s="34" t="s">
        <v>279</v>
      </c>
      <c r="F38" s="34" t="s">
        <v>279</v>
      </c>
      <c r="G38" s="34" t="s">
        <v>279</v>
      </c>
      <c r="H38" s="34" t="s">
        <v>279</v>
      </c>
      <c r="I38" s="34" t="s">
        <v>279</v>
      </c>
      <c r="J38" s="35">
        <f t="shared" si="1"/>
        <v>1</v>
      </c>
    </row>
    <row r="39" ht="15.75" customHeight="1">
      <c r="A39" s="6" t="s">
        <v>117</v>
      </c>
      <c r="B39" s="6" t="s">
        <v>118</v>
      </c>
      <c r="C39" s="7">
        <f>VLOOKUP(B39,'Grupos 1'!B:C,2,FALSE)</f>
        <v>9</v>
      </c>
      <c r="D39" s="7">
        <v>1.0</v>
      </c>
      <c r="E39" s="34" t="s">
        <v>279</v>
      </c>
      <c r="F39" s="34" t="s">
        <v>279</v>
      </c>
      <c r="G39" s="34" t="s">
        <v>280</v>
      </c>
      <c r="H39" s="34" t="s">
        <v>279</v>
      </c>
      <c r="I39" s="34" t="s">
        <v>279</v>
      </c>
      <c r="J39" s="35">
        <f t="shared" si="1"/>
        <v>1</v>
      </c>
    </row>
    <row r="40" ht="15.75" customHeight="1">
      <c r="A40" s="6" t="s">
        <v>120</v>
      </c>
      <c r="B40" s="6" t="s">
        <v>121</v>
      </c>
      <c r="C40" s="7">
        <f>VLOOKUP(B40,'Grupos 1'!B:C,2,FALSE)</f>
        <v>1</v>
      </c>
      <c r="D40" s="7">
        <v>1.0</v>
      </c>
      <c r="E40" s="34" t="s">
        <v>279</v>
      </c>
      <c r="F40" s="34" t="s">
        <v>279</v>
      </c>
      <c r="G40" s="34" t="s">
        <v>279</v>
      </c>
      <c r="H40" s="34" t="s">
        <v>279</v>
      </c>
      <c r="I40" s="34" t="s">
        <v>279</v>
      </c>
      <c r="J40" s="35">
        <f t="shared" si="1"/>
        <v>1</v>
      </c>
    </row>
    <row r="41" ht="15.75" customHeight="1">
      <c r="A41" s="6" t="s">
        <v>123</v>
      </c>
      <c r="B41" s="6" t="s">
        <v>124</v>
      </c>
      <c r="C41" s="7">
        <f>VLOOKUP(B41,'Grupos 1'!B:C,2,FALSE)</f>
        <v>2</v>
      </c>
      <c r="D41" s="7">
        <v>1.0</v>
      </c>
      <c r="E41" s="34" t="s">
        <v>279</v>
      </c>
      <c r="F41" s="34" t="s">
        <v>279</v>
      </c>
      <c r="G41" s="34" t="s">
        <v>279</v>
      </c>
      <c r="H41" s="34" t="s">
        <v>279</v>
      </c>
      <c r="I41" s="34" t="s">
        <v>279</v>
      </c>
      <c r="J41" s="35">
        <f t="shared" si="1"/>
        <v>1</v>
      </c>
    </row>
    <row r="42" ht="15.75" customHeight="1">
      <c r="A42" s="6" t="s">
        <v>126</v>
      </c>
      <c r="B42" s="6" t="s">
        <v>127</v>
      </c>
      <c r="C42" s="7">
        <f>VLOOKUP(B42,'Grupos 1'!B:C,2,FALSE)</f>
        <v>3</v>
      </c>
      <c r="D42" s="7">
        <v>1.0</v>
      </c>
      <c r="E42" s="34" t="s">
        <v>279</v>
      </c>
      <c r="F42" s="34" t="s">
        <v>279</v>
      </c>
      <c r="G42" s="34" t="s">
        <v>279</v>
      </c>
      <c r="H42" s="34" t="s">
        <v>279</v>
      </c>
      <c r="I42" s="34" t="s">
        <v>279</v>
      </c>
      <c r="J42" s="35">
        <f t="shared" si="1"/>
        <v>1</v>
      </c>
    </row>
    <row r="43" ht="15.75" customHeight="1">
      <c r="A43" s="6" t="s">
        <v>129</v>
      </c>
      <c r="B43" s="6" t="s">
        <v>130</v>
      </c>
      <c r="C43" s="7">
        <f>VLOOKUP(B43,'Grupos 1'!B:C,2,FALSE)</f>
        <v>4</v>
      </c>
      <c r="D43" s="7">
        <v>1.0</v>
      </c>
      <c r="E43" s="34" t="s">
        <v>279</v>
      </c>
      <c r="F43" s="34" t="s">
        <v>279</v>
      </c>
      <c r="G43" s="34" t="s">
        <v>279</v>
      </c>
      <c r="H43" s="34" t="s">
        <v>279</v>
      </c>
      <c r="I43" s="34" t="s">
        <v>279</v>
      </c>
      <c r="J43" s="35">
        <f t="shared" si="1"/>
        <v>1</v>
      </c>
    </row>
    <row r="44" ht="15.75" customHeight="1">
      <c r="A44" s="6" t="s">
        <v>132</v>
      </c>
      <c r="B44" s="6" t="s">
        <v>133</v>
      </c>
      <c r="C44" s="7">
        <f>VLOOKUP(B44,'Grupos 1'!B:C,2,FALSE)</f>
        <v>9</v>
      </c>
      <c r="D44" s="7">
        <v>1.0</v>
      </c>
      <c r="E44" s="34" t="s">
        <v>279</v>
      </c>
      <c r="F44" s="34" t="s">
        <v>279</v>
      </c>
      <c r="G44" s="34" t="s">
        <v>279</v>
      </c>
      <c r="H44" s="34" t="s">
        <v>279</v>
      </c>
      <c r="I44" s="34" t="s">
        <v>279</v>
      </c>
      <c r="J44" s="35">
        <f t="shared" si="1"/>
        <v>1</v>
      </c>
    </row>
    <row r="45" ht="15.75" customHeight="1">
      <c r="A45" s="6" t="s">
        <v>135</v>
      </c>
      <c r="B45" s="6" t="s">
        <v>136</v>
      </c>
      <c r="C45" s="7">
        <f>VLOOKUP(B45,'Grupos 2'!B:C,2,FALSE)</f>
        <v>15</v>
      </c>
      <c r="D45" s="7">
        <v>2.0</v>
      </c>
      <c r="E45" s="34" t="s">
        <v>279</v>
      </c>
      <c r="F45" s="34" t="s">
        <v>279</v>
      </c>
      <c r="G45" s="34" t="s">
        <v>279</v>
      </c>
      <c r="H45" s="34" t="s">
        <v>279</v>
      </c>
      <c r="I45" s="34" t="s">
        <v>279</v>
      </c>
      <c r="J45" s="35">
        <f t="shared" si="1"/>
        <v>1</v>
      </c>
    </row>
    <row r="46" ht="15.75" customHeight="1">
      <c r="A46" s="6" t="s">
        <v>138</v>
      </c>
      <c r="B46" s="6" t="s">
        <v>139</v>
      </c>
      <c r="C46" s="7">
        <f>VLOOKUP(B46,'Grupos 2'!B:C,2,FALSE)</f>
        <v>19</v>
      </c>
      <c r="D46" s="7">
        <v>2.0</v>
      </c>
      <c r="E46" s="34" t="s">
        <v>280</v>
      </c>
      <c r="F46" s="34" t="s">
        <v>279</v>
      </c>
      <c r="G46" s="34" t="s">
        <v>279</v>
      </c>
      <c r="H46" s="34" t="s">
        <v>279</v>
      </c>
      <c r="I46" s="34" t="s">
        <v>279</v>
      </c>
      <c r="J46" s="35">
        <f t="shared" si="1"/>
        <v>1</v>
      </c>
    </row>
    <row r="47" ht="15.75" customHeight="1">
      <c r="A47" s="6" t="s">
        <v>141</v>
      </c>
      <c r="B47" s="6" t="s">
        <v>142</v>
      </c>
      <c r="C47" s="7">
        <f>VLOOKUP(B47,'Grupos 2'!B:C,2,FALSE)</f>
        <v>16</v>
      </c>
      <c r="D47" s="7">
        <v>2.0</v>
      </c>
      <c r="E47" s="34" t="s">
        <v>279</v>
      </c>
      <c r="F47" s="34" t="s">
        <v>279</v>
      </c>
      <c r="G47" s="34" t="s">
        <v>279</v>
      </c>
      <c r="H47" s="34" t="s">
        <v>279</v>
      </c>
      <c r="I47" s="34" t="s">
        <v>279</v>
      </c>
      <c r="J47" s="35">
        <f t="shared" si="1"/>
        <v>1</v>
      </c>
    </row>
    <row r="48" ht="15.75" customHeight="1">
      <c r="A48" s="6" t="s">
        <v>144</v>
      </c>
      <c r="B48" s="6" t="s">
        <v>145</v>
      </c>
      <c r="C48" s="7">
        <f>VLOOKUP(B48,'Grupos 2'!B:C,2,FALSE)</f>
        <v>19</v>
      </c>
      <c r="D48" s="7">
        <v>2.0</v>
      </c>
      <c r="E48" s="34" t="s">
        <v>279</v>
      </c>
      <c r="F48" s="34" t="s">
        <v>279</v>
      </c>
      <c r="G48" s="34" t="s">
        <v>279</v>
      </c>
      <c r="H48" s="34" t="s">
        <v>279</v>
      </c>
      <c r="I48" s="34" t="s">
        <v>279</v>
      </c>
      <c r="J48" s="35">
        <f t="shared" si="1"/>
        <v>1</v>
      </c>
    </row>
    <row r="49" ht="15.75" customHeight="1">
      <c r="A49" s="6" t="s">
        <v>147</v>
      </c>
      <c r="B49" s="6" t="s">
        <v>148</v>
      </c>
      <c r="C49" s="7">
        <f>VLOOKUP(B49,'Grupos 2'!B:C,2,FALSE)</f>
        <v>17</v>
      </c>
      <c r="D49" s="7">
        <v>2.0</v>
      </c>
      <c r="E49" s="34" t="s">
        <v>279</v>
      </c>
      <c r="F49" s="34" t="s">
        <v>279</v>
      </c>
      <c r="G49" s="34" t="s">
        <v>279</v>
      </c>
      <c r="H49" s="34" t="s">
        <v>279</v>
      </c>
      <c r="I49" s="34" t="s">
        <v>279</v>
      </c>
      <c r="J49" s="35">
        <f t="shared" si="1"/>
        <v>1</v>
      </c>
    </row>
    <row r="50" ht="15.75" customHeight="1">
      <c r="A50" s="6" t="s">
        <v>150</v>
      </c>
      <c r="B50" s="6" t="s">
        <v>151</v>
      </c>
      <c r="C50" s="7">
        <f>VLOOKUP(B50,'Grupos 2'!B:C,2,FALSE)</f>
        <v>11</v>
      </c>
      <c r="D50" s="7">
        <v>2.0</v>
      </c>
      <c r="E50" s="34" t="s">
        <v>279</v>
      </c>
      <c r="F50" s="34" t="s">
        <v>279</v>
      </c>
      <c r="G50" s="34" t="s">
        <v>281</v>
      </c>
      <c r="H50" s="34" t="s">
        <v>279</v>
      </c>
      <c r="I50" s="34" t="s">
        <v>279</v>
      </c>
      <c r="J50" s="35">
        <f t="shared" si="1"/>
        <v>0.8</v>
      </c>
    </row>
    <row r="51" ht="15.75" customHeight="1">
      <c r="A51" s="6" t="s">
        <v>153</v>
      </c>
      <c r="B51" s="6" t="s">
        <v>154</v>
      </c>
      <c r="C51" s="7">
        <f>VLOOKUP(B51,'Grupos 2'!B:C,2,FALSE)</f>
        <v>11</v>
      </c>
      <c r="D51" s="7">
        <v>2.0</v>
      </c>
      <c r="E51" s="34" t="s">
        <v>279</v>
      </c>
      <c r="F51" s="34" t="s">
        <v>279</v>
      </c>
      <c r="G51" s="34" t="s">
        <v>279</v>
      </c>
      <c r="H51" s="34" t="s">
        <v>279</v>
      </c>
      <c r="I51" s="34" t="s">
        <v>279</v>
      </c>
      <c r="J51" s="35">
        <f t="shared" si="1"/>
        <v>1</v>
      </c>
    </row>
    <row r="52" ht="15.75" customHeight="1">
      <c r="A52" s="6" t="s">
        <v>156</v>
      </c>
      <c r="B52" s="6" t="s">
        <v>157</v>
      </c>
      <c r="C52" s="7">
        <f>VLOOKUP(B52,'Grupos 2'!B:C,2,FALSE)</f>
        <v>13</v>
      </c>
      <c r="D52" s="7">
        <v>2.0</v>
      </c>
      <c r="E52" s="34" t="s">
        <v>279</v>
      </c>
      <c r="F52" s="34" t="s">
        <v>279</v>
      </c>
      <c r="G52" s="34" t="s">
        <v>279</v>
      </c>
      <c r="H52" s="34" t="s">
        <v>279</v>
      </c>
      <c r="I52" s="34" t="s">
        <v>279</v>
      </c>
      <c r="J52" s="35">
        <f t="shared" si="1"/>
        <v>1</v>
      </c>
    </row>
    <row r="53" ht="15.75" customHeight="1">
      <c r="A53" s="6" t="s">
        <v>159</v>
      </c>
      <c r="B53" s="6" t="s">
        <v>160</v>
      </c>
      <c r="C53" s="7">
        <f>VLOOKUP(B53,'Grupos 2'!B:C,2,FALSE)</f>
        <v>18</v>
      </c>
      <c r="D53" s="7">
        <v>2.0</v>
      </c>
      <c r="E53" s="34" t="s">
        <v>279</v>
      </c>
      <c r="F53" s="34" t="s">
        <v>279</v>
      </c>
      <c r="G53" s="34" t="s">
        <v>279</v>
      </c>
      <c r="H53" s="34" t="s">
        <v>279</v>
      </c>
      <c r="I53" s="34" t="s">
        <v>279</v>
      </c>
      <c r="J53" s="35">
        <f t="shared" si="1"/>
        <v>1</v>
      </c>
    </row>
    <row r="54" ht="15.75" customHeight="1">
      <c r="A54" s="6" t="s">
        <v>162</v>
      </c>
      <c r="B54" s="6" t="s">
        <v>163</v>
      </c>
      <c r="C54" s="7">
        <f>VLOOKUP(B54,'Grupos 2'!B:C,2,FALSE)</f>
        <v>15</v>
      </c>
      <c r="D54" s="7">
        <v>2.0</v>
      </c>
      <c r="E54" s="34" t="s">
        <v>279</v>
      </c>
      <c r="F54" s="34" t="s">
        <v>279</v>
      </c>
      <c r="G54" s="34" t="s">
        <v>279</v>
      </c>
      <c r="H54" s="34" t="s">
        <v>279</v>
      </c>
      <c r="I54" s="34" t="s">
        <v>279</v>
      </c>
      <c r="J54" s="35">
        <f t="shared" si="1"/>
        <v>1</v>
      </c>
    </row>
    <row r="55" ht="15.75" customHeight="1">
      <c r="A55" s="6" t="s">
        <v>165</v>
      </c>
      <c r="B55" s="6" t="s">
        <v>166</v>
      </c>
      <c r="C55" s="7">
        <f>VLOOKUP(B55,'Grupos 2'!B:C,2,FALSE)</f>
        <v>14</v>
      </c>
      <c r="D55" s="7">
        <v>2.0</v>
      </c>
      <c r="E55" s="34" t="s">
        <v>279</v>
      </c>
      <c r="F55" s="34" t="s">
        <v>279</v>
      </c>
      <c r="G55" s="34" t="s">
        <v>279</v>
      </c>
      <c r="H55" s="34" t="s">
        <v>279</v>
      </c>
      <c r="I55" s="34" t="s">
        <v>279</v>
      </c>
      <c r="J55" s="35">
        <f t="shared" si="1"/>
        <v>1</v>
      </c>
    </row>
    <row r="56" ht="15.75" customHeight="1">
      <c r="A56" s="6" t="s">
        <v>168</v>
      </c>
      <c r="B56" s="6" t="s">
        <v>169</v>
      </c>
      <c r="C56" s="7">
        <f>VLOOKUP(B56,'Grupos 2'!B:C,2,FALSE)</f>
        <v>12</v>
      </c>
      <c r="D56" s="7">
        <v>2.0</v>
      </c>
      <c r="E56" s="34" t="s">
        <v>279</v>
      </c>
      <c r="F56" s="34" t="s">
        <v>279</v>
      </c>
      <c r="G56" s="34" t="s">
        <v>279</v>
      </c>
      <c r="H56" s="34" t="s">
        <v>279</v>
      </c>
      <c r="I56" s="34" t="s">
        <v>279</v>
      </c>
      <c r="J56" s="35">
        <f t="shared" si="1"/>
        <v>1</v>
      </c>
    </row>
    <row r="57" ht="15.75" customHeight="1">
      <c r="A57" s="6" t="s">
        <v>171</v>
      </c>
      <c r="B57" s="6" t="s">
        <v>172</v>
      </c>
      <c r="C57" s="7">
        <f>VLOOKUP(B57,'Grupos 2'!B:C,2,FALSE)</f>
        <v>13</v>
      </c>
      <c r="D57" s="7">
        <v>2.0</v>
      </c>
      <c r="E57" s="34" t="s">
        <v>279</v>
      </c>
      <c r="F57" s="34" t="s">
        <v>279</v>
      </c>
      <c r="G57" s="34" t="s">
        <v>279</v>
      </c>
      <c r="H57" s="34" t="s">
        <v>279</v>
      </c>
      <c r="I57" s="34" t="s">
        <v>279</v>
      </c>
      <c r="J57" s="35">
        <f t="shared" si="1"/>
        <v>1</v>
      </c>
    </row>
    <row r="58" ht="15.75" customHeight="1">
      <c r="A58" s="6" t="s">
        <v>174</v>
      </c>
      <c r="B58" s="6" t="s">
        <v>175</v>
      </c>
      <c r="C58" s="7">
        <f>VLOOKUP(B58,'Grupos 2'!B:C,2,FALSE)</f>
        <v>12</v>
      </c>
      <c r="D58" s="7">
        <v>2.0</v>
      </c>
      <c r="E58" s="34" t="s">
        <v>279</v>
      </c>
      <c r="F58" s="34" t="s">
        <v>279</v>
      </c>
      <c r="G58" s="34" t="s">
        <v>279</v>
      </c>
      <c r="H58" s="34" t="s">
        <v>279</v>
      </c>
      <c r="I58" s="34" t="s">
        <v>279</v>
      </c>
      <c r="J58" s="35">
        <f t="shared" si="1"/>
        <v>1</v>
      </c>
    </row>
    <row r="59" ht="15.75" customHeight="1">
      <c r="A59" s="6" t="s">
        <v>177</v>
      </c>
      <c r="B59" s="6" t="s">
        <v>178</v>
      </c>
      <c r="C59" s="7">
        <f>VLOOKUP(B59,'Grupos 2'!B:C,2,FALSE)</f>
        <v>20</v>
      </c>
      <c r="D59" s="7">
        <v>2.0</v>
      </c>
      <c r="E59" s="34" t="s">
        <v>279</v>
      </c>
      <c r="F59" s="34" t="s">
        <v>279</v>
      </c>
      <c r="G59" s="34" t="s">
        <v>279</v>
      </c>
      <c r="H59" s="34" t="s">
        <v>279</v>
      </c>
      <c r="I59" s="34" t="s">
        <v>279</v>
      </c>
      <c r="J59" s="35">
        <f t="shared" si="1"/>
        <v>1</v>
      </c>
    </row>
    <row r="60" ht="15.75" customHeight="1">
      <c r="A60" s="6" t="s">
        <v>180</v>
      </c>
      <c r="B60" s="6" t="s">
        <v>181</v>
      </c>
      <c r="C60" s="7">
        <f>VLOOKUP(B60,'Grupos 2'!B:C,2,FALSE)</f>
        <v>17</v>
      </c>
      <c r="D60" s="7">
        <v>2.0</v>
      </c>
      <c r="E60" s="34" t="s">
        <v>279</v>
      </c>
      <c r="F60" s="34" t="s">
        <v>279</v>
      </c>
      <c r="G60" s="34" t="s">
        <v>279</v>
      </c>
      <c r="H60" s="34" t="s">
        <v>279</v>
      </c>
      <c r="I60" s="34" t="s">
        <v>279</v>
      </c>
      <c r="J60" s="35">
        <f t="shared" si="1"/>
        <v>1</v>
      </c>
    </row>
    <row r="61" ht="15.75" customHeight="1">
      <c r="A61" s="6" t="s">
        <v>183</v>
      </c>
      <c r="B61" s="6" t="s">
        <v>184</v>
      </c>
      <c r="C61" s="7">
        <f>VLOOKUP(B61,'Grupos 2'!B:C,2,FALSE)</f>
        <v>19</v>
      </c>
      <c r="D61" s="7">
        <v>2.0</v>
      </c>
      <c r="E61" s="34" t="s">
        <v>279</v>
      </c>
      <c r="F61" s="34" t="s">
        <v>279</v>
      </c>
      <c r="G61" s="34" t="s">
        <v>281</v>
      </c>
      <c r="H61" s="34" t="s">
        <v>279</v>
      </c>
      <c r="I61" s="34" t="s">
        <v>279</v>
      </c>
      <c r="J61" s="35">
        <f t="shared" si="1"/>
        <v>0.8</v>
      </c>
    </row>
    <row r="62" ht="15.75" customHeight="1">
      <c r="A62" s="6" t="s">
        <v>186</v>
      </c>
      <c r="B62" s="6" t="s">
        <v>187</v>
      </c>
      <c r="C62" s="7">
        <f>VLOOKUP(B62,'Grupos 2'!B:C,2,FALSE)</f>
        <v>11</v>
      </c>
      <c r="D62" s="7">
        <v>2.0</v>
      </c>
      <c r="E62" s="34" t="s">
        <v>279</v>
      </c>
      <c r="F62" s="34" t="s">
        <v>279</v>
      </c>
      <c r="G62" s="34" t="s">
        <v>279</v>
      </c>
      <c r="H62" s="34" t="s">
        <v>279</v>
      </c>
      <c r="I62" s="34" t="s">
        <v>279</v>
      </c>
      <c r="J62" s="35">
        <f t="shared" si="1"/>
        <v>1</v>
      </c>
    </row>
    <row r="63" ht="15.75" customHeight="1">
      <c r="A63" s="6" t="s">
        <v>189</v>
      </c>
      <c r="B63" s="6" t="s">
        <v>190</v>
      </c>
      <c r="C63" s="7">
        <f>VLOOKUP(B63,'Grupos 2'!B:C,2,FALSE)</f>
        <v>16</v>
      </c>
      <c r="D63" s="7">
        <v>2.0</v>
      </c>
      <c r="E63" s="34" t="s">
        <v>279</v>
      </c>
      <c r="F63" s="34" t="s">
        <v>279</v>
      </c>
      <c r="G63" s="34" t="s">
        <v>279</v>
      </c>
      <c r="H63" s="34" t="s">
        <v>279</v>
      </c>
      <c r="I63" s="34" t="s">
        <v>279</v>
      </c>
      <c r="J63" s="35">
        <f t="shared" si="1"/>
        <v>1</v>
      </c>
    </row>
    <row r="64" ht="15.75" customHeight="1">
      <c r="A64" s="6" t="s">
        <v>192</v>
      </c>
      <c r="B64" s="6" t="s">
        <v>193</v>
      </c>
      <c r="C64" s="7">
        <f>VLOOKUP(B64,'Grupos 2'!B:C,2,FALSE)</f>
        <v>12</v>
      </c>
      <c r="D64" s="7">
        <v>2.0</v>
      </c>
      <c r="E64" s="34" t="s">
        <v>279</v>
      </c>
      <c r="F64" s="34" t="s">
        <v>279</v>
      </c>
      <c r="G64" s="34" t="s">
        <v>279</v>
      </c>
      <c r="H64" s="34" t="s">
        <v>279</v>
      </c>
      <c r="I64" s="34" t="s">
        <v>279</v>
      </c>
      <c r="J64" s="35">
        <f t="shared" si="1"/>
        <v>1</v>
      </c>
    </row>
    <row r="65" ht="15.75" customHeight="1">
      <c r="A65" s="6" t="s">
        <v>195</v>
      </c>
      <c r="B65" s="6" t="s">
        <v>196</v>
      </c>
      <c r="C65" s="7">
        <f>VLOOKUP(B65,'Grupos 2'!B:C,2,FALSE)</f>
        <v>14</v>
      </c>
      <c r="D65" s="7">
        <v>2.0</v>
      </c>
      <c r="E65" s="34" t="s">
        <v>279</v>
      </c>
      <c r="F65" s="34" t="s">
        <v>279</v>
      </c>
      <c r="G65" s="34" t="s">
        <v>279</v>
      </c>
      <c r="H65" s="34" t="s">
        <v>279</v>
      </c>
      <c r="I65" s="34" t="s">
        <v>279</v>
      </c>
      <c r="J65" s="35">
        <f t="shared" si="1"/>
        <v>1</v>
      </c>
    </row>
    <row r="66" ht="15.75" customHeight="1">
      <c r="A66" s="6" t="s">
        <v>198</v>
      </c>
      <c r="B66" s="6" t="s">
        <v>199</v>
      </c>
      <c r="C66" s="7">
        <f>VLOOKUP(B66,'Grupos 2'!B:C,2,FALSE)</f>
        <v>19</v>
      </c>
      <c r="D66" s="7">
        <v>2.0</v>
      </c>
      <c r="E66" s="34" t="s">
        <v>279</v>
      </c>
      <c r="F66" s="34" t="s">
        <v>279</v>
      </c>
      <c r="G66" s="34" t="s">
        <v>279</v>
      </c>
      <c r="H66" s="34" t="s">
        <v>279</v>
      </c>
      <c r="I66" s="34" t="s">
        <v>279</v>
      </c>
      <c r="J66" s="35">
        <f t="shared" si="1"/>
        <v>1</v>
      </c>
    </row>
    <row r="67" ht="15.75" customHeight="1">
      <c r="A67" s="6" t="s">
        <v>201</v>
      </c>
      <c r="B67" s="6" t="s">
        <v>202</v>
      </c>
      <c r="C67" s="7">
        <f>VLOOKUP(B67,'Grupos 2'!B:C,2,FALSE)</f>
        <v>20</v>
      </c>
      <c r="D67" s="7">
        <v>2.0</v>
      </c>
      <c r="E67" s="34" t="s">
        <v>279</v>
      </c>
      <c r="F67" s="34" t="s">
        <v>279</v>
      </c>
      <c r="G67" s="34" t="s">
        <v>279</v>
      </c>
      <c r="H67" s="34" t="s">
        <v>279</v>
      </c>
      <c r="I67" s="34" t="s">
        <v>279</v>
      </c>
      <c r="J67" s="35">
        <f t="shared" si="1"/>
        <v>1</v>
      </c>
    </row>
    <row r="68" ht="15.75" customHeight="1">
      <c r="A68" s="6" t="s">
        <v>204</v>
      </c>
      <c r="B68" s="6" t="s">
        <v>205</v>
      </c>
      <c r="C68" s="7">
        <f>VLOOKUP(B68,'Grupos 2'!B:C,2,FALSE)</f>
        <v>13</v>
      </c>
      <c r="D68" s="7">
        <v>2.0</v>
      </c>
      <c r="E68" s="34" t="s">
        <v>279</v>
      </c>
      <c r="F68" s="34" t="s">
        <v>279</v>
      </c>
      <c r="G68" s="34" t="s">
        <v>279</v>
      </c>
      <c r="H68" s="34" t="s">
        <v>279</v>
      </c>
      <c r="I68" s="34" t="s">
        <v>279</v>
      </c>
      <c r="J68" s="35">
        <f t="shared" si="1"/>
        <v>1</v>
      </c>
    </row>
    <row r="69" ht="15.75" customHeight="1">
      <c r="A69" s="6" t="s">
        <v>207</v>
      </c>
      <c r="B69" s="6" t="s">
        <v>208</v>
      </c>
      <c r="C69" s="7">
        <f>VLOOKUP(B69,'Grupos 2'!B:C,2,FALSE)</f>
        <v>14</v>
      </c>
      <c r="D69" s="7">
        <v>2.0</v>
      </c>
      <c r="E69" s="34" t="s">
        <v>279</v>
      </c>
      <c r="F69" s="34" t="s">
        <v>279</v>
      </c>
      <c r="G69" s="34" t="s">
        <v>279</v>
      </c>
      <c r="H69" s="34" t="s">
        <v>279</v>
      </c>
      <c r="I69" s="34" t="s">
        <v>279</v>
      </c>
      <c r="J69" s="35">
        <f t="shared" si="1"/>
        <v>1</v>
      </c>
    </row>
    <row r="70" ht="15.75" customHeight="1">
      <c r="A70" s="6" t="s">
        <v>210</v>
      </c>
      <c r="B70" s="6" t="s">
        <v>211</v>
      </c>
      <c r="C70" s="7">
        <f>VLOOKUP(B70,'Grupos 2'!B:C,2,FALSE)</f>
        <v>12</v>
      </c>
      <c r="D70" s="7">
        <v>2.0</v>
      </c>
      <c r="E70" s="34" t="s">
        <v>279</v>
      </c>
      <c r="F70" s="34" t="s">
        <v>279</v>
      </c>
      <c r="G70" s="34" t="s">
        <v>279</v>
      </c>
      <c r="H70" s="34" t="s">
        <v>279</v>
      </c>
      <c r="I70" s="34" t="s">
        <v>279</v>
      </c>
      <c r="J70" s="35">
        <f t="shared" si="1"/>
        <v>1</v>
      </c>
    </row>
    <row r="71" ht="15.75" customHeight="1">
      <c r="A71" s="6" t="s">
        <v>213</v>
      </c>
      <c r="B71" s="6" t="s">
        <v>214</v>
      </c>
      <c r="C71" s="7">
        <f>VLOOKUP(B71,'Grupos 2'!B:C,2,FALSE)</f>
        <v>20</v>
      </c>
      <c r="D71" s="7">
        <v>2.0</v>
      </c>
      <c r="E71" s="34" t="s">
        <v>279</v>
      </c>
      <c r="F71" s="34" t="s">
        <v>279</v>
      </c>
      <c r="G71" s="34" t="s">
        <v>279</v>
      </c>
      <c r="H71" s="34" t="s">
        <v>279</v>
      </c>
      <c r="I71" s="34" t="s">
        <v>279</v>
      </c>
      <c r="J71" s="35">
        <f t="shared" si="1"/>
        <v>1</v>
      </c>
    </row>
    <row r="72" ht="15.75" customHeight="1">
      <c r="A72" s="6" t="s">
        <v>216</v>
      </c>
      <c r="B72" s="6" t="s">
        <v>217</v>
      </c>
      <c r="C72" s="7">
        <f>VLOOKUP(B72,'Grupos 2'!B:C,2,FALSE)</f>
        <v>11</v>
      </c>
      <c r="D72" s="7">
        <v>2.0</v>
      </c>
      <c r="E72" s="34" t="s">
        <v>279</v>
      </c>
      <c r="F72" s="34" t="s">
        <v>279</v>
      </c>
      <c r="G72" s="34" t="s">
        <v>279</v>
      </c>
      <c r="H72" s="34" t="s">
        <v>279</v>
      </c>
      <c r="I72" s="34" t="s">
        <v>279</v>
      </c>
      <c r="J72" s="35">
        <f t="shared" si="1"/>
        <v>1</v>
      </c>
    </row>
    <row r="73" ht="15.75" customHeight="1">
      <c r="A73" s="6" t="s">
        <v>219</v>
      </c>
      <c r="B73" s="6" t="s">
        <v>220</v>
      </c>
      <c r="C73" s="7">
        <f>VLOOKUP(B73,'Grupos 2'!B:C,2,FALSE)</f>
        <v>16</v>
      </c>
      <c r="D73" s="7">
        <v>2.0</v>
      </c>
      <c r="E73" s="34" t="s">
        <v>279</v>
      </c>
      <c r="F73" s="34" t="s">
        <v>279</v>
      </c>
      <c r="G73" s="34" t="s">
        <v>279</v>
      </c>
      <c r="H73" s="34" t="s">
        <v>280</v>
      </c>
      <c r="I73" s="34" t="s">
        <v>279</v>
      </c>
      <c r="J73" s="35">
        <f t="shared" si="1"/>
        <v>1</v>
      </c>
    </row>
    <row r="74" ht="15.75" customHeight="1">
      <c r="A74" s="6" t="s">
        <v>222</v>
      </c>
      <c r="B74" s="6" t="s">
        <v>223</v>
      </c>
      <c r="C74" s="7">
        <f>VLOOKUP(B74,'Grupos 2'!B:C,2,FALSE)</f>
        <v>18</v>
      </c>
      <c r="D74" s="7">
        <v>2.0</v>
      </c>
      <c r="E74" s="34" t="s">
        <v>279</v>
      </c>
      <c r="F74" s="34" t="s">
        <v>279</v>
      </c>
      <c r="G74" s="34" t="s">
        <v>279</v>
      </c>
      <c r="H74" s="34" t="s">
        <v>279</v>
      </c>
      <c r="I74" s="34" t="s">
        <v>279</v>
      </c>
      <c r="J74" s="35">
        <f t="shared" si="1"/>
        <v>1</v>
      </c>
    </row>
    <row r="75" ht="15.75" customHeight="1">
      <c r="A75" s="6" t="s">
        <v>225</v>
      </c>
      <c r="B75" s="6" t="s">
        <v>226</v>
      </c>
      <c r="C75" s="7">
        <f>VLOOKUP(B75,'Grupos 2'!B:C,2,FALSE)</f>
        <v>15</v>
      </c>
      <c r="D75" s="7">
        <v>2.0</v>
      </c>
      <c r="E75" s="34" t="s">
        <v>279</v>
      </c>
      <c r="F75" s="34" t="s">
        <v>279</v>
      </c>
      <c r="G75" s="34" t="s">
        <v>279</v>
      </c>
      <c r="H75" s="34" t="s">
        <v>279</v>
      </c>
      <c r="I75" s="34" t="s">
        <v>279</v>
      </c>
      <c r="J75" s="35">
        <f t="shared" si="1"/>
        <v>1</v>
      </c>
    </row>
    <row r="76" ht="15.75" customHeight="1">
      <c r="A76" s="6" t="s">
        <v>228</v>
      </c>
      <c r="B76" s="6" t="s">
        <v>229</v>
      </c>
      <c r="C76" s="7">
        <f>VLOOKUP(B76,'Grupos 2'!B:C,2,FALSE)</f>
        <v>20</v>
      </c>
      <c r="D76" s="7">
        <v>2.0</v>
      </c>
      <c r="E76" s="34" t="s">
        <v>279</v>
      </c>
      <c r="F76" s="34" t="s">
        <v>279</v>
      </c>
      <c r="G76" s="34" t="s">
        <v>279</v>
      </c>
      <c r="H76" s="34" t="s">
        <v>279</v>
      </c>
      <c r="I76" s="34" t="s">
        <v>279</v>
      </c>
      <c r="J76" s="35">
        <f t="shared" si="1"/>
        <v>1</v>
      </c>
    </row>
    <row r="77" ht="15.75" customHeight="1">
      <c r="A77" s="6" t="s">
        <v>231</v>
      </c>
      <c r="B77" s="6" t="s">
        <v>232</v>
      </c>
      <c r="C77" s="7">
        <f>VLOOKUP(B77,'Grupos 2'!B:C,2,FALSE)</f>
        <v>16</v>
      </c>
      <c r="D77" s="7">
        <v>2.0</v>
      </c>
      <c r="E77" s="34" t="s">
        <v>279</v>
      </c>
      <c r="F77" s="34" t="s">
        <v>279</v>
      </c>
      <c r="G77" s="34" t="s">
        <v>279</v>
      </c>
      <c r="H77" s="34" t="s">
        <v>279</v>
      </c>
      <c r="I77" s="34" t="s">
        <v>279</v>
      </c>
      <c r="J77" s="35">
        <f t="shared" si="1"/>
        <v>1</v>
      </c>
    </row>
    <row r="78" ht="15.75" customHeight="1">
      <c r="A78" s="6" t="s">
        <v>234</v>
      </c>
      <c r="B78" s="6" t="s">
        <v>235</v>
      </c>
      <c r="C78" s="7">
        <f>VLOOKUP(B78,'Grupos 2'!B:C,2,FALSE)</f>
        <v>11</v>
      </c>
      <c r="D78" s="7">
        <v>2.0</v>
      </c>
      <c r="E78" s="34" t="s">
        <v>279</v>
      </c>
      <c r="F78" s="34" t="s">
        <v>279</v>
      </c>
      <c r="G78" s="34" t="s">
        <v>279</v>
      </c>
      <c r="H78" s="34" t="s">
        <v>279</v>
      </c>
      <c r="I78" s="34" t="s">
        <v>279</v>
      </c>
      <c r="J78" s="35">
        <f t="shared" si="1"/>
        <v>1</v>
      </c>
    </row>
    <row r="79" ht="15.75" customHeight="1">
      <c r="A79" s="6" t="s">
        <v>237</v>
      </c>
      <c r="B79" s="6" t="s">
        <v>238</v>
      </c>
      <c r="C79" s="7">
        <f>VLOOKUP(B79,'Grupos 2'!B:C,2,FALSE)</f>
        <v>17</v>
      </c>
      <c r="D79" s="7">
        <v>2.0</v>
      </c>
      <c r="E79" s="34" t="s">
        <v>279</v>
      </c>
      <c r="F79" s="34" t="s">
        <v>279</v>
      </c>
      <c r="G79" s="34" t="s">
        <v>279</v>
      </c>
      <c r="H79" s="34" t="s">
        <v>279</v>
      </c>
      <c r="I79" s="34" t="s">
        <v>279</v>
      </c>
      <c r="J79" s="35">
        <f t="shared" si="1"/>
        <v>1</v>
      </c>
    </row>
    <row r="80" ht="15.75" customHeight="1">
      <c r="A80" s="6" t="s">
        <v>240</v>
      </c>
      <c r="B80" s="6" t="s">
        <v>241</v>
      </c>
      <c r="C80" s="7">
        <f>VLOOKUP(B80,'Grupos 2'!B:C,2,FALSE)</f>
        <v>14</v>
      </c>
      <c r="D80" s="7">
        <v>2.0</v>
      </c>
      <c r="E80" s="34" t="s">
        <v>279</v>
      </c>
      <c r="F80" s="34" t="s">
        <v>279</v>
      </c>
      <c r="G80" s="34" t="s">
        <v>279</v>
      </c>
      <c r="H80" s="34" t="s">
        <v>279</v>
      </c>
      <c r="I80" s="34" t="s">
        <v>279</v>
      </c>
      <c r="J80" s="35">
        <f t="shared" si="1"/>
        <v>1</v>
      </c>
    </row>
    <row r="81" ht="15.75" customHeight="1">
      <c r="A81" s="6" t="s">
        <v>243</v>
      </c>
      <c r="B81" s="6" t="s">
        <v>244</v>
      </c>
      <c r="C81" s="7">
        <f>VLOOKUP(B81,'Grupos 2'!B:C,2,FALSE)</f>
        <v>17</v>
      </c>
      <c r="D81" s="7">
        <v>2.0</v>
      </c>
      <c r="E81" s="34" t="s">
        <v>279</v>
      </c>
      <c r="F81" s="34" t="s">
        <v>279</v>
      </c>
      <c r="G81" s="34" t="s">
        <v>279</v>
      </c>
      <c r="H81" s="34" t="s">
        <v>279</v>
      </c>
      <c r="I81" s="34" t="s">
        <v>279</v>
      </c>
      <c r="J81" s="35">
        <f t="shared" si="1"/>
        <v>1</v>
      </c>
    </row>
  </sheetData>
  <autoFilter ref="$A$1:$J$81"/>
  <conditionalFormatting sqref="E2:I81">
    <cfRule type="containsBlanks" dxfId="0" priority="1">
      <formula>LEN(TRIM(E2))=0</formula>
    </cfRule>
  </conditionalFormatting>
  <conditionalFormatting sqref="E2:I81">
    <cfRule type="cellIs" dxfId="1" priority="2" operator="equal">
      <formula>"J"</formula>
    </cfRule>
  </conditionalFormatting>
  <conditionalFormatting sqref="E2:I81">
    <cfRule type="containsText" dxfId="2" priority="3" operator="containsText" text="x">
      <formula>NOT(ISERROR(SEARCH(("x"),(E2))))</formula>
    </cfRule>
  </conditionalFormatting>
  <conditionalFormatting sqref="J2:J81">
    <cfRule type="cellIs" dxfId="0" priority="4" operator="lessThan">
      <formula>0.8</formula>
    </cfRule>
  </conditionalFormatting>
  <conditionalFormatting sqref="J2:J81">
    <cfRule type="cellIs" dxfId="2" priority="5" operator="greaterThanOrEqual">
      <formula>0.8</formula>
    </cfRule>
  </conditionalFormatting>
  <conditionalFormatting sqref="E1:I81">
    <cfRule type="cellIs" dxfId="3" priority="6" operator="equal">
      <formula>"I"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2" max="2" width="43.43"/>
    <col customWidth="1" min="3" max="3" width="13.29"/>
    <col customWidth="1" min="4" max="4" width="19.71"/>
    <col customWidth="1" min="5" max="5" width="18.86"/>
    <col customWidth="1" min="10" max="10" width="12.14"/>
    <col customWidth="1" min="11" max="11" width="7.14"/>
  </cols>
  <sheetData>
    <row r="1">
      <c r="A1" s="1" t="s">
        <v>0</v>
      </c>
      <c r="B1" s="2" t="s">
        <v>1</v>
      </c>
      <c r="C1" s="3" t="s">
        <v>3</v>
      </c>
      <c r="D1" s="3" t="s">
        <v>282</v>
      </c>
      <c r="E1" s="3" t="s">
        <v>283</v>
      </c>
      <c r="F1" s="3" t="s">
        <v>284</v>
      </c>
      <c r="G1" s="3" t="s">
        <v>285</v>
      </c>
      <c r="H1" s="3" t="s">
        <v>286</v>
      </c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</row>
    <row r="2">
      <c r="A2" s="6" t="s">
        <v>135</v>
      </c>
      <c r="B2" s="6" t="s">
        <v>136</v>
      </c>
      <c r="C2" s="7">
        <v>2.0</v>
      </c>
      <c r="D2" s="7">
        <v>33.0</v>
      </c>
      <c r="E2" s="37">
        <v>16.0</v>
      </c>
      <c r="F2" s="37">
        <v>1.0</v>
      </c>
      <c r="G2" s="38">
        <f t="shared" ref="G2:G71" si="1">SUM(D2:F2)</f>
        <v>50</v>
      </c>
      <c r="H2" s="39">
        <f t="shared" ref="H2:H71" si="2">IF(IF(G2&gt;=$K$4*0.6,3*(((G2/$K$4)*100-60)/(100-60))+4,3*(G2/($K$4*0.6))+1)&gt;7,7,IF(G2&gt;=$K$4*0.6,3*(((G2/$K$4)*100-60)/(100-60))+4,3*(G2/($K$4*0.6))+1))</f>
        <v>5.75</v>
      </c>
      <c r="I2" s="36"/>
      <c r="J2" s="36" t="s">
        <v>287</v>
      </c>
      <c r="K2" s="40">
        <v>64.0</v>
      </c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</row>
    <row r="3">
      <c r="A3" s="6" t="s">
        <v>6</v>
      </c>
      <c r="B3" s="6" t="s">
        <v>7</v>
      </c>
      <c r="C3" s="7">
        <v>1.0</v>
      </c>
      <c r="D3" s="7">
        <v>23.0</v>
      </c>
      <c r="E3" s="37">
        <v>2.0</v>
      </c>
      <c r="F3" s="37">
        <v>1.0</v>
      </c>
      <c r="G3" s="38">
        <f t="shared" si="1"/>
        <v>26</v>
      </c>
      <c r="H3" s="39">
        <f t="shared" si="2"/>
        <v>3.166666667</v>
      </c>
      <c r="I3" s="36"/>
      <c r="J3" s="36" t="s">
        <v>288</v>
      </c>
      <c r="K3" s="41">
        <f>MAX(G:G)</f>
        <v>56</v>
      </c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</row>
    <row r="4">
      <c r="A4" s="6" t="s">
        <v>138</v>
      </c>
      <c r="B4" s="6" t="s">
        <v>139</v>
      </c>
      <c r="C4" s="7">
        <v>2.0</v>
      </c>
      <c r="D4" s="7">
        <v>13.0</v>
      </c>
      <c r="E4" s="37">
        <v>4.0</v>
      </c>
      <c r="F4" s="38"/>
      <c r="G4" s="38">
        <f t="shared" si="1"/>
        <v>17</v>
      </c>
      <c r="H4" s="39">
        <f t="shared" si="2"/>
        <v>2.416666667</v>
      </c>
      <c r="I4" s="36"/>
      <c r="J4" s="36" t="s">
        <v>289</v>
      </c>
      <c r="K4" s="40">
        <v>60.0</v>
      </c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</row>
    <row r="5">
      <c r="A5" s="6" t="s">
        <v>9</v>
      </c>
      <c r="B5" s="6" t="s">
        <v>10</v>
      </c>
      <c r="C5" s="7">
        <v>1.0</v>
      </c>
      <c r="D5" s="7">
        <v>36.0</v>
      </c>
      <c r="E5" s="37">
        <v>17.0</v>
      </c>
      <c r="F5" s="37">
        <v>1.0</v>
      </c>
      <c r="G5" s="38">
        <f t="shared" si="1"/>
        <v>54</v>
      </c>
      <c r="H5" s="39">
        <f t="shared" si="2"/>
        <v>6.25</v>
      </c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</row>
    <row r="6">
      <c r="A6" s="6" t="s">
        <v>141</v>
      </c>
      <c r="B6" s="6" t="s">
        <v>142</v>
      </c>
      <c r="C6" s="7">
        <v>2.0</v>
      </c>
      <c r="D6" s="7">
        <v>29.0</v>
      </c>
      <c r="E6" s="37">
        <v>14.5</v>
      </c>
      <c r="F6" s="38"/>
      <c r="G6" s="38">
        <f t="shared" si="1"/>
        <v>43.5</v>
      </c>
      <c r="H6" s="39">
        <f t="shared" si="2"/>
        <v>4.9375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>
      <c r="A7" s="6" t="s">
        <v>12</v>
      </c>
      <c r="B7" s="6" t="s">
        <v>13</v>
      </c>
      <c r="C7" s="7">
        <v>1.0</v>
      </c>
      <c r="D7" s="7">
        <v>24.0</v>
      </c>
      <c r="E7" s="37">
        <v>13.0</v>
      </c>
      <c r="F7" s="38"/>
      <c r="G7" s="38">
        <f t="shared" si="1"/>
        <v>37</v>
      </c>
      <c r="H7" s="39">
        <f t="shared" si="2"/>
        <v>4.125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</row>
    <row r="8">
      <c r="A8" s="6" t="s">
        <v>144</v>
      </c>
      <c r="B8" s="6" t="s">
        <v>145</v>
      </c>
      <c r="C8" s="7">
        <v>2.0</v>
      </c>
      <c r="D8" s="7">
        <v>13.0</v>
      </c>
      <c r="E8" s="37">
        <v>3.0</v>
      </c>
      <c r="F8" s="38"/>
      <c r="G8" s="38">
        <f t="shared" si="1"/>
        <v>16</v>
      </c>
      <c r="H8" s="39">
        <f t="shared" si="2"/>
        <v>2.333333333</v>
      </c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</row>
    <row r="9">
      <c r="A9" s="6" t="s">
        <v>147</v>
      </c>
      <c r="B9" s="6" t="s">
        <v>148</v>
      </c>
      <c r="C9" s="7">
        <v>2.0</v>
      </c>
      <c r="D9" s="7">
        <v>22.0</v>
      </c>
      <c r="E9" s="37">
        <v>12.0</v>
      </c>
      <c r="F9" s="37">
        <v>1.0</v>
      </c>
      <c r="G9" s="38">
        <f t="shared" si="1"/>
        <v>35</v>
      </c>
      <c r="H9" s="39">
        <f t="shared" si="2"/>
        <v>3.916666667</v>
      </c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</row>
    <row r="10">
      <c r="A10" s="6" t="s">
        <v>150</v>
      </c>
      <c r="B10" s="6" t="s">
        <v>151</v>
      </c>
      <c r="C10" s="7">
        <v>2.0</v>
      </c>
      <c r="D10" s="7">
        <v>27.0</v>
      </c>
      <c r="E10" s="37">
        <v>15.0</v>
      </c>
      <c r="F10" s="37">
        <v>1.0</v>
      </c>
      <c r="G10" s="38">
        <f t="shared" si="1"/>
        <v>43</v>
      </c>
      <c r="H10" s="39">
        <f t="shared" si="2"/>
        <v>4.875</v>
      </c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</row>
    <row r="11">
      <c r="A11" s="6" t="s">
        <v>153</v>
      </c>
      <c r="B11" s="6" t="s">
        <v>154</v>
      </c>
      <c r="C11" s="7">
        <v>2.0</v>
      </c>
      <c r="D11" s="7">
        <v>30.0</v>
      </c>
      <c r="E11" s="37">
        <v>18.0</v>
      </c>
      <c r="F11" s="37">
        <v>1.0</v>
      </c>
      <c r="G11" s="38">
        <f t="shared" si="1"/>
        <v>49</v>
      </c>
      <c r="H11" s="39">
        <f t="shared" si="2"/>
        <v>5.625</v>
      </c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</row>
    <row r="12">
      <c r="A12" s="6" t="s">
        <v>156</v>
      </c>
      <c r="B12" s="6" t="s">
        <v>157</v>
      </c>
      <c r="C12" s="7">
        <v>2.0</v>
      </c>
      <c r="D12" s="7">
        <v>27.0</v>
      </c>
      <c r="E12" s="37">
        <v>9.0</v>
      </c>
      <c r="F12" s="37">
        <v>1.0</v>
      </c>
      <c r="G12" s="38">
        <f t="shared" si="1"/>
        <v>37</v>
      </c>
      <c r="H12" s="39">
        <f t="shared" si="2"/>
        <v>4.125</v>
      </c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</row>
    <row r="13">
      <c r="A13" s="6" t="s">
        <v>159</v>
      </c>
      <c r="B13" s="6" t="s">
        <v>160</v>
      </c>
      <c r="C13" s="7">
        <v>2.0</v>
      </c>
      <c r="D13" s="7">
        <v>26.0</v>
      </c>
      <c r="E13" s="37">
        <v>13.0</v>
      </c>
      <c r="F13" s="37">
        <v>1.0</v>
      </c>
      <c r="G13" s="38">
        <f t="shared" si="1"/>
        <v>40</v>
      </c>
      <c r="H13" s="39">
        <f t="shared" si="2"/>
        <v>4.5</v>
      </c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</row>
    <row r="14">
      <c r="A14" s="6" t="s">
        <v>162</v>
      </c>
      <c r="B14" s="6" t="s">
        <v>163</v>
      </c>
      <c r="C14" s="7">
        <v>2.0</v>
      </c>
      <c r="D14" s="7">
        <v>31.0</v>
      </c>
      <c r="E14" s="37">
        <v>12.5</v>
      </c>
      <c r="F14" s="37">
        <v>1.0</v>
      </c>
      <c r="G14" s="38">
        <f t="shared" si="1"/>
        <v>44.5</v>
      </c>
      <c r="H14" s="39">
        <f t="shared" si="2"/>
        <v>5.0625</v>
      </c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>
      <c r="A15" s="6" t="s">
        <v>165</v>
      </c>
      <c r="B15" s="6" t="s">
        <v>166</v>
      </c>
      <c r="C15" s="7">
        <v>2.0</v>
      </c>
      <c r="D15" s="7">
        <v>25.0</v>
      </c>
      <c r="E15" s="37">
        <v>10.0</v>
      </c>
      <c r="F15" s="37">
        <v>1.0</v>
      </c>
      <c r="G15" s="38">
        <f t="shared" si="1"/>
        <v>36</v>
      </c>
      <c r="H15" s="39">
        <f t="shared" si="2"/>
        <v>4</v>
      </c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</row>
    <row r="16">
      <c r="A16" s="6" t="s">
        <v>15</v>
      </c>
      <c r="B16" s="6" t="s">
        <v>16</v>
      </c>
      <c r="C16" s="7">
        <v>1.0</v>
      </c>
      <c r="D16" s="7">
        <v>16.0</v>
      </c>
      <c r="E16" s="37">
        <v>4.0</v>
      </c>
      <c r="F16" s="38"/>
      <c r="G16" s="38">
        <f t="shared" si="1"/>
        <v>20</v>
      </c>
      <c r="H16" s="39">
        <f t="shared" si="2"/>
        <v>2.666666667</v>
      </c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</row>
    <row r="17">
      <c r="A17" s="6" t="s">
        <v>18</v>
      </c>
      <c r="B17" s="6" t="s">
        <v>19</v>
      </c>
      <c r="C17" s="7">
        <v>1.0</v>
      </c>
      <c r="D17" s="7">
        <v>35.0</v>
      </c>
      <c r="E17" s="37">
        <v>14.5</v>
      </c>
      <c r="F17" s="37">
        <v>1.0</v>
      </c>
      <c r="G17" s="38">
        <f t="shared" si="1"/>
        <v>50.5</v>
      </c>
      <c r="H17" s="39">
        <f t="shared" si="2"/>
        <v>5.8125</v>
      </c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</row>
    <row r="18">
      <c r="A18" s="6" t="s">
        <v>21</v>
      </c>
      <c r="B18" s="6" t="s">
        <v>22</v>
      </c>
      <c r="C18" s="7">
        <v>1.0</v>
      </c>
      <c r="D18" s="7">
        <v>34.0</v>
      </c>
      <c r="E18" s="37">
        <v>17.5</v>
      </c>
      <c r="F18" s="38"/>
      <c r="G18" s="38">
        <f t="shared" si="1"/>
        <v>51.5</v>
      </c>
      <c r="H18" s="39">
        <f t="shared" si="2"/>
        <v>5.9375</v>
      </c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</row>
    <row r="19">
      <c r="A19" s="6" t="s">
        <v>24</v>
      </c>
      <c r="B19" s="6" t="s">
        <v>25</v>
      </c>
      <c r="C19" s="7">
        <v>1.0</v>
      </c>
      <c r="D19" s="7">
        <v>22.0</v>
      </c>
      <c r="E19" s="37">
        <v>6.0</v>
      </c>
      <c r="F19" s="37"/>
      <c r="G19" s="38">
        <f t="shared" si="1"/>
        <v>28</v>
      </c>
      <c r="H19" s="39">
        <f t="shared" si="2"/>
        <v>3.333333333</v>
      </c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</row>
    <row r="20">
      <c r="A20" s="6" t="s">
        <v>168</v>
      </c>
      <c r="B20" s="6" t="s">
        <v>169</v>
      </c>
      <c r="C20" s="7">
        <v>2.0</v>
      </c>
      <c r="D20" s="7">
        <v>18.0</v>
      </c>
      <c r="E20" s="37">
        <v>4.0</v>
      </c>
      <c r="F20" s="37">
        <v>1.0</v>
      </c>
      <c r="G20" s="38">
        <f t="shared" si="1"/>
        <v>23</v>
      </c>
      <c r="H20" s="39">
        <f t="shared" si="2"/>
        <v>2.916666667</v>
      </c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</row>
    <row r="21">
      <c r="A21" s="6" t="s">
        <v>27</v>
      </c>
      <c r="B21" s="6" t="s">
        <v>28</v>
      </c>
      <c r="C21" s="7">
        <v>1.0</v>
      </c>
      <c r="D21" s="7">
        <v>31.0</v>
      </c>
      <c r="E21" s="37">
        <v>3.0</v>
      </c>
      <c r="F21" s="37">
        <v>1.0</v>
      </c>
      <c r="G21" s="38">
        <f t="shared" si="1"/>
        <v>35</v>
      </c>
      <c r="H21" s="39">
        <f t="shared" si="2"/>
        <v>3.916666667</v>
      </c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</row>
    <row r="22">
      <c r="A22" s="6" t="s">
        <v>30</v>
      </c>
      <c r="B22" s="6" t="s">
        <v>31</v>
      </c>
      <c r="C22" s="7">
        <v>1.0</v>
      </c>
      <c r="D22" s="7">
        <v>19.0</v>
      </c>
      <c r="E22" s="37">
        <v>2.0</v>
      </c>
      <c r="F22" s="37">
        <v>1.0</v>
      </c>
      <c r="G22" s="38">
        <f t="shared" si="1"/>
        <v>22</v>
      </c>
      <c r="H22" s="39">
        <f t="shared" si="2"/>
        <v>2.833333333</v>
      </c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</row>
    <row r="23">
      <c r="A23" s="6" t="s">
        <v>33</v>
      </c>
      <c r="B23" s="6" t="s">
        <v>34</v>
      </c>
      <c r="C23" s="7">
        <v>1.0</v>
      </c>
      <c r="D23" s="7">
        <v>16.0</v>
      </c>
      <c r="E23" s="37">
        <v>3.0</v>
      </c>
      <c r="F23" s="38"/>
      <c r="G23" s="38">
        <f t="shared" si="1"/>
        <v>19</v>
      </c>
      <c r="H23" s="39">
        <f t="shared" si="2"/>
        <v>2.583333333</v>
      </c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</row>
    <row r="24">
      <c r="A24" s="6" t="s">
        <v>36</v>
      </c>
      <c r="B24" s="6" t="s">
        <v>37</v>
      </c>
      <c r="C24" s="7">
        <v>1.0</v>
      </c>
      <c r="D24" s="7">
        <v>17.0</v>
      </c>
      <c r="E24" s="37">
        <v>5.5</v>
      </c>
      <c r="F24" s="37">
        <v>1.0</v>
      </c>
      <c r="G24" s="38">
        <f t="shared" si="1"/>
        <v>23.5</v>
      </c>
      <c r="H24" s="39">
        <f t="shared" si="2"/>
        <v>2.958333333</v>
      </c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</row>
    <row r="25">
      <c r="A25" s="6" t="s">
        <v>171</v>
      </c>
      <c r="B25" s="6" t="s">
        <v>172</v>
      </c>
      <c r="C25" s="7">
        <v>2.0</v>
      </c>
      <c r="D25" s="7">
        <v>27.0</v>
      </c>
      <c r="E25" s="37">
        <v>12.0</v>
      </c>
      <c r="F25" s="37">
        <v>1.0</v>
      </c>
      <c r="G25" s="38">
        <f t="shared" si="1"/>
        <v>40</v>
      </c>
      <c r="H25" s="39">
        <f t="shared" si="2"/>
        <v>4.5</v>
      </c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</row>
    <row r="26">
      <c r="A26" s="6" t="s">
        <v>174</v>
      </c>
      <c r="B26" s="6" t="s">
        <v>175</v>
      </c>
      <c r="C26" s="7">
        <v>2.0</v>
      </c>
      <c r="D26" s="7">
        <v>28.0</v>
      </c>
      <c r="E26" s="37">
        <v>11.0</v>
      </c>
      <c r="F26" s="37">
        <v>1.0</v>
      </c>
      <c r="G26" s="38">
        <f t="shared" si="1"/>
        <v>40</v>
      </c>
      <c r="H26" s="39">
        <f t="shared" si="2"/>
        <v>4.5</v>
      </c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</row>
    <row r="27">
      <c r="A27" s="6" t="s">
        <v>177</v>
      </c>
      <c r="B27" s="6" t="s">
        <v>290</v>
      </c>
      <c r="C27" s="7">
        <v>2.0</v>
      </c>
      <c r="D27" s="7">
        <v>26.0</v>
      </c>
      <c r="E27" s="37">
        <v>18.0</v>
      </c>
      <c r="F27" s="38"/>
      <c r="G27" s="38">
        <f t="shared" si="1"/>
        <v>44</v>
      </c>
      <c r="H27" s="39">
        <f t="shared" si="2"/>
        <v>5</v>
      </c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</row>
    <row r="28">
      <c r="A28" s="6" t="s">
        <v>180</v>
      </c>
      <c r="B28" s="6" t="s">
        <v>181</v>
      </c>
      <c r="C28" s="7">
        <v>2.0</v>
      </c>
      <c r="D28" s="7">
        <v>13.0</v>
      </c>
      <c r="E28" s="37">
        <v>5.0</v>
      </c>
      <c r="F28" s="37">
        <v>1.0</v>
      </c>
      <c r="G28" s="38">
        <f t="shared" si="1"/>
        <v>19</v>
      </c>
      <c r="H28" s="39">
        <f t="shared" si="2"/>
        <v>2.583333333</v>
      </c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</row>
    <row r="29">
      <c r="A29" s="6" t="s">
        <v>39</v>
      </c>
      <c r="B29" s="6" t="s">
        <v>40</v>
      </c>
      <c r="C29" s="7">
        <v>1.0</v>
      </c>
      <c r="D29" s="7">
        <v>31.0</v>
      </c>
      <c r="E29" s="37">
        <v>11.5</v>
      </c>
      <c r="F29" s="37">
        <v>1.0</v>
      </c>
      <c r="G29" s="38">
        <f t="shared" si="1"/>
        <v>43.5</v>
      </c>
      <c r="H29" s="39">
        <f t="shared" si="2"/>
        <v>4.9375</v>
      </c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</row>
    <row r="30">
      <c r="A30" s="6" t="s">
        <v>183</v>
      </c>
      <c r="B30" s="6" t="s">
        <v>184</v>
      </c>
      <c r="C30" s="7">
        <v>2.0</v>
      </c>
      <c r="D30" s="7">
        <v>33.0</v>
      </c>
      <c r="E30" s="37">
        <v>17.5</v>
      </c>
      <c r="F30" s="38"/>
      <c r="G30" s="38">
        <f t="shared" si="1"/>
        <v>50.5</v>
      </c>
      <c r="H30" s="39">
        <f t="shared" si="2"/>
        <v>5.8125</v>
      </c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</row>
    <row r="31">
      <c r="A31" s="6" t="s">
        <v>186</v>
      </c>
      <c r="B31" s="6" t="s">
        <v>187</v>
      </c>
      <c r="C31" s="7">
        <v>2.0</v>
      </c>
      <c r="D31" s="7">
        <v>27.0</v>
      </c>
      <c r="E31" s="37">
        <v>7.0</v>
      </c>
      <c r="F31" s="37">
        <v>1.0</v>
      </c>
      <c r="G31" s="38">
        <f t="shared" si="1"/>
        <v>35</v>
      </c>
      <c r="H31" s="39">
        <f t="shared" si="2"/>
        <v>3.916666667</v>
      </c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>
      <c r="A32" s="6" t="s">
        <v>189</v>
      </c>
      <c r="B32" s="6" t="s">
        <v>190</v>
      </c>
      <c r="C32" s="7">
        <v>2.0</v>
      </c>
      <c r="D32" s="7">
        <v>34.0</v>
      </c>
      <c r="E32" s="37">
        <v>10.0</v>
      </c>
      <c r="F32" s="38"/>
      <c r="G32" s="38">
        <f t="shared" si="1"/>
        <v>44</v>
      </c>
      <c r="H32" s="39">
        <f t="shared" si="2"/>
        <v>5</v>
      </c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</row>
    <row r="33">
      <c r="A33" s="6" t="s">
        <v>192</v>
      </c>
      <c r="B33" s="6" t="s">
        <v>193</v>
      </c>
      <c r="C33" s="7">
        <v>2.0</v>
      </c>
      <c r="D33" s="7">
        <v>28.0</v>
      </c>
      <c r="E33" s="37">
        <v>8.0</v>
      </c>
      <c r="F33" s="37">
        <v>1.0</v>
      </c>
      <c r="G33" s="38">
        <f t="shared" si="1"/>
        <v>37</v>
      </c>
      <c r="H33" s="39">
        <f t="shared" si="2"/>
        <v>4.125</v>
      </c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</row>
    <row r="34">
      <c r="A34" s="6" t="s">
        <v>42</v>
      </c>
      <c r="B34" s="6" t="s">
        <v>43</v>
      </c>
      <c r="C34" s="7">
        <v>1.0</v>
      </c>
      <c r="D34" s="7">
        <v>29.0</v>
      </c>
      <c r="E34" s="37">
        <v>20.0</v>
      </c>
      <c r="F34" s="37">
        <v>1.0</v>
      </c>
      <c r="G34" s="38">
        <f t="shared" si="1"/>
        <v>50</v>
      </c>
      <c r="H34" s="39">
        <f t="shared" si="2"/>
        <v>5.75</v>
      </c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</row>
    <row r="35">
      <c r="A35" s="6" t="s">
        <v>45</v>
      </c>
      <c r="B35" s="6" t="s">
        <v>46</v>
      </c>
      <c r="C35" s="7">
        <v>1.0</v>
      </c>
      <c r="D35" s="7">
        <v>32.0</v>
      </c>
      <c r="E35" s="37">
        <v>20.0</v>
      </c>
      <c r="F35" s="38"/>
      <c r="G35" s="38">
        <f t="shared" si="1"/>
        <v>52</v>
      </c>
      <c r="H35" s="39">
        <f t="shared" si="2"/>
        <v>6</v>
      </c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>
      <c r="A36" s="6" t="s">
        <v>48</v>
      </c>
      <c r="B36" s="6" t="s">
        <v>49</v>
      </c>
      <c r="C36" s="7">
        <v>1.0</v>
      </c>
      <c r="D36" s="7">
        <v>33.0</v>
      </c>
      <c r="E36" s="37">
        <v>8.0</v>
      </c>
      <c r="F36" s="37">
        <v>1.0</v>
      </c>
      <c r="G36" s="38">
        <f t="shared" si="1"/>
        <v>42</v>
      </c>
      <c r="H36" s="39">
        <f t="shared" si="2"/>
        <v>4.75</v>
      </c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</row>
    <row r="37">
      <c r="A37" s="6" t="s">
        <v>51</v>
      </c>
      <c r="B37" s="6" t="s">
        <v>52</v>
      </c>
      <c r="C37" s="7">
        <v>1.0</v>
      </c>
      <c r="D37" s="7">
        <v>25.0</v>
      </c>
      <c r="E37" s="37">
        <v>9.0</v>
      </c>
      <c r="F37" s="38"/>
      <c r="G37" s="38">
        <f t="shared" si="1"/>
        <v>34</v>
      </c>
      <c r="H37" s="39">
        <f t="shared" si="2"/>
        <v>3.833333333</v>
      </c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</row>
    <row r="38">
      <c r="A38" s="6" t="s">
        <v>195</v>
      </c>
      <c r="B38" s="6" t="s">
        <v>196</v>
      </c>
      <c r="C38" s="7">
        <v>2.0</v>
      </c>
      <c r="D38" s="7">
        <v>30.0</v>
      </c>
      <c r="E38" s="37">
        <v>17.0</v>
      </c>
      <c r="F38" s="38"/>
      <c r="G38" s="38">
        <f t="shared" si="1"/>
        <v>47</v>
      </c>
      <c r="H38" s="39">
        <f t="shared" si="2"/>
        <v>5.375</v>
      </c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</row>
    <row r="39">
      <c r="A39" s="6" t="s">
        <v>54</v>
      </c>
      <c r="B39" s="6" t="s">
        <v>55</v>
      </c>
      <c r="C39" s="7">
        <v>1.0</v>
      </c>
      <c r="D39" s="7">
        <v>33.0</v>
      </c>
      <c r="E39" s="37">
        <v>17.5</v>
      </c>
      <c r="F39" s="37">
        <v>1.0</v>
      </c>
      <c r="G39" s="38">
        <f t="shared" si="1"/>
        <v>51.5</v>
      </c>
      <c r="H39" s="39">
        <f t="shared" si="2"/>
        <v>5.9375</v>
      </c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</row>
    <row r="40">
      <c r="A40" s="6" t="s">
        <v>198</v>
      </c>
      <c r="B40" s="6" t="s">
        <v>199</v>
      </c>
      <c r="C40" s="7">
        <v>2.0</v>
      </c>
      <c r="D40" s="7">
        <v>18.0</v>
      </c>
      <c r="E40" s="37">
        <v>12.5</v>
      </c>
      <c r="F40" s="37">
        <v>1.0</v>
      </c>
      <c r="G40" s="38">
        <f t="shared" si="1"/>
        <v>31.5</v>
      </c>
      <c r="H40" s="39">
        <f t="shared" si="2"/>
        <v>3.625</v>
      </c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</row>
    <row r="41">
      <c r="A41" s="6" t="s">
        <v>57</v>
      </c>
      <c r="B41" s="6" t="s">
        <v>58</v>
      </c>
      <c r="C41" s="7">
        <v>1.0</v>
      </c>
      <c r="D41" s="7">
        <v>18.0</v>
      </c>
      <c r="E41" s="37">
        <v>11.0</v>
      </c>
      <c r="F41" s="38"/>
      <c r="G41" s="38">
        <f t="shared" si="1"/>
        <v>29</v>
      </c>
      <c r="H41" s="39">
        <f t="shared" si="2"/>
        <v>3.416666667</v>
      </c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</row>
    <row r="42">
      <c r="A42" s="6" t="s">
        <v>60</v>
      </c>
      <c r="B42" s="6" t="s">
        <v>61</v>
      </c>
      <c r="C42" s="7">
        <v>1.0</v>
      </c>
      <c r="D42" s="7">
        <v>29.0</v>
      </c>
      <c r="E42" s="37">
        <v>5.0</v>
      </c>
      <c r="F42" s="37">
        <f>1</f>
        <v>1</v>
      </c>
      <c r="G42" s="38">
        <f t="shared" si="1"/>
        <v>35</v>
      </c>
      <c r="H42" s="39">
        <f t="shared" si="2"/>
        <v>3.916666667</v>
      </c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</row>
    <row r="43">
      <c r="A43" s="6" t="s">
        <v>63</v>
      </c>
      <c r="B43" s="6" t="s">
        <v>64</v>
      </c>
      <c r="C43" s="7">
        <v>1.0</v>
      </c>
      <c r="D43" s="7">
        <v>32.0</v>
      </c>
      <c r="E43" s="37">
        <v>20.5</v>
      </c>
      <c r="F43" s="37">
        <v>1.0</v>
      </c>
      <c r="G43" s="38">
        <f t="shared" si="1"/>
        <v>53.5</v>
      </c>
      <c r="H43" s="39">
        <f t="shared" si="2"/>
        <v>6.1875</v>
      </c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</row>
    <row r="44">
      <c r="A44" s="6" t="s">
        <v>66</v>
      </c>
      <c r="B44" s="6" t="s">
        <v>67</v>
      </c>
      <c r="C44" s="7">
        <v>1.0</v>
      </c>
      <c r="D44" s="7">
        <v>24.0</v>
      </c>
      <c r="E44" s="37">
        <v>6.0</v>
      </c>
      <c r="F44" s="38"/>
      <c r="G44" s="38">
        <f t="shared" si="1"/>
        <v>30</v>
      </c>
      <c r="H44" s="39">
        <f t="shared" si="2"/>
        <v>3.5</v>
      </c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</row>
    <row r="45">
      <c r="A45" s="6" t="s">
        <v>201</v>
      </c>
      <c r="B45" s="6" t="s">
        <v>202</v>
      </c>
      <c r="C45" s="7">
        <v>2.0</v>
      </c>
      <c r="D45" s="7">
        <v>24.0</v>
      </c>
      <c r="E45" s="37">
        <v>4.5</v>
      </c>
      <c r="F45" s="38"/>
      <c r="G45" s="38">
        <f t="shared" si="1"/>
        <v>28.5</v>
      </c>
      <c r="H45" s="39">
        <f t="shared" si="2"/>
        <v>3.375</v>
      </c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</row>
    <row r="46">
      <c r="A46" s="6" t="s">
        <v>69</v>
      </c>
      <c r="B46" s="6" t="s">
        <v>70</v>
      </c>
      <c r="C46" s="7">
        <v>1.0</v>
      </c>
      <c r="D46" s="7">
        <v>26.0</v>
      </c>
      <c r="E46" s="37">
        <v>5.5</v>
      </c>
      <c r="F46" s="37">
        <v>1.0</v>
      </c>
      <c r="G46" s="38">
        <f t="shared" si="1"/>
        <v>32.5</v>
      </c>
      <c r="H46" s="39">
        <f t="shared" si="2"/>
        <v>3.708333333</v>
      </c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</row>
    <row r="47">
      <c r="A47" s="6" t="s">
        <v>204</v>
      </c>
      <c r="B47" s="6" t="s">
        <v>205</v>
      </c>
      <c r="C47" s="7">
        <v>2.0</v>
      </c>
      <c r="D47" s="7">
        <v>27.0</v>
      </c>
      <c r="E47" s="37">
        <v>12.5</v>
      </c>
      <c r="F47" s="37">
        <v>1.0</v>
      </c>
      <c r="G47" s="38">
        <f t="shared" si="1"/>
        <v>40.5</v>
      </c>
      <c r="H47" s="39">
        <f t="shared" si="2"/>
        <v>4.5625</v>
      </c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</row>
    <row r="48">
      <c r="A48" s="6" t="s">
        <v>207</v>
      </c>
      <c r="B48" s="6" t="s">
        <v>208</v>
      </c>
      <c r="C48" s="7">
        <v>2.0</v>
      </c>
      <c r="D48" s="7">
        <v>24.0</v>
      </c>
      <c r="E48" s="37">
        <v>6.5</v>
      </c>
      <c r="F48" s="37">
        <v>1.0</v>
      </c>
      <c r="G48" s="38">
        <f t="shared" si="1"/>
        <v>31.5</v>
      </c>
      <c r="H48" s="39">
        <f t="shared" si="2"/>
        <v>3.625</v>
      </c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</row>
    <row r="49">
      <c r="A49" s="6" t="s">
        <v>72</v>
      </c>
      <c r="B49" s="6" t="s">
        <v>73</v>
      </c>
      <c r="C49" s="7">
        <v>1.0</v>
      </c>
      <c r="D49" s="7">
        <v>37.0</v>
      </c>
      <c r="E49" s="37">
        <v>15.0</v>
      </c>
      <c r="F49" s="38"/>
      <c r="G49" s="38">
        <f t="shared" si="1"/>
        <v>52</v>
      </c>
      <c r="H49" s="39">
        <f t="shared" si="2"/>
        <v>6</v>
      </c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</row>
    <row r="50">
      <c r="A50" s="6" t="s">
        <v>210</v>
      </c>
      <c r="B50" s="6" t="s">
        <v>211</v>
      </c>
      <c r="C50" s="7">
        <v>2.0</v>
      </c>
      <c r="D50" s="7">
        <v>15.0</v>
      </c>
      <c r="E50" s="37">
        <v>3.0</v>
      </c>
      <c r="F50" s="38"/>
      <c r="G50" s="38">
        <f t="shared" si="1"/>
        <v>18</v>
      </c>
      <c r="H50" s="39">
        <f t="shared" si="2"/>
        <v>2.5</v>
      </c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</row>
    <row r="51">
      <c r="A51" s="6" t="s">
        <v>75</v>
      </c>
      <c r="B51" s="6" t="s">
        <v>76</v>
      </c>
      <c r="C51" s="7">
        <v>1.0</v>
      </c>
      <c r="D51" s="7">
        <v>36.0</v>
      </c>
      <c r="E51" s="37">
        <v>19.0</v>
      </c>
      <c r="F51" s="37">
        <v>1.0</v>
      </c>
      <c r="G51" s="38">
        <f t="shared" si="1"/>
        <v>56</v>
      </c>
      <c r="H51" s="39">
        <f t="shared" si="2"/>
        <v>6.5</v>
      </c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</row>
    <row r="52">
      <c r="A52" s="6" t="s">
        <v>213</v>
      </c>
      <c r="B52" s="6" t="s">
        <v>214</v>
      </c>
      <c r="C52" s="7">
        <v>2.0</v>
      </c>
      <c r="D52" s="7">
        <v>26.0</v>
      </c>
      <c r="E52" s="37">
        <v>15.0</v>
      </c>
      <c r="F52" s="37">
        <v>1.0</v>
      </c>
      <c r="G52" s="38">
        <f t="shared" si="1"/>
        <v>42</v>
      </c>
      <c r="H52" s="39">
        <f t="shared" si="2"/>
        <v>4.75</v>
      </c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</row>
    <row r="53">
      <c r="A53" s="6" t="s">
        <v>78</v>
      </c>
      <c r="B53" s="6" t="s">
        <v>79</v>
      </c>
      <c r="C53" s="7">
        <v>1.0</v>
      </c>
      <c r="D53" s="7">
        <v>27.0</v>
      </c>
      <c r="E53" s="37">
        <v>4.0</v>
      </c>
      <c r="F53" s="37">
        <v>1.0</v>
      </c>
      <c r="G53" s="38">
        <f t="shared" si="1"/>
        <v>32</v>
      </c>
      <c r="H53" s="39">
        <f t="shared" si="2"/>
        <v>3.666666667</v>
      </c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</row>
    <row r="54">
      <c r="A54" s="6" t="s">
        <v>81</v>
      </c>
      <c r="B54" s="6" t="s">
        <v>82</v>
      </c>
      <c r="C54" s="7">
        <v>1.0</v>
      </c>
      <c r="D54" s="7">
        <v>35.0</v>
      </c>
      <c r="E54" s="37">
        <v>18.5</v>
      </c>
      <c r="F54" s="37">
        <v>1.0</v>
      </c>
      <c r="G54" s="38">
        <f t="shared" si="1"/>
        <v>54.5</v>
      </c>
      <c r="H54" s="39">
        <f t="shared" si="2"/>
        <v>6.3125</v>
      </c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</row>
    <row r="55">
      <c r="A55" s="6" t="s">
        <v>84</v>
      </c>
      <c r="B55" s="6" t="s">
        <v>85</v>
      </c>
      <c r="C55" s="7">
        <v>1.0</v>
      </c>
      <c r="D55" s="7">
        <v>35.0</v>
      </c>
      <c r="E55" s="37">
        <v>12.5</v>
      </c>
      <c r="F55" s="37">
        <v>1.0</v>
      </c>
      <c r="G55" s="38">
        <f t="shared" si="1"/>
        <v>48.5</v>
      </c>
      <c r="H55" s="39">
        <f t="shared" si="2"/>
        <v>5.5625</v>
      </c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</row>
    <row r="56">
      <c r="A56" s="6" t="s">
        <v>87</v>
      </c>
      <c r="B56" s="6" t="s">
        <v>88</v>
      </c>
      <c r="C56" s="7">
        <v>1.0</v>
      </c>
      <c r="D56" s="7">
        <v>28.0</v>
      </c>
      <c r="E56" s="37">
        <v>14.0</v>
      </c>
      <c r="F56" s="37">
        <v>1.0</v>
      </c>
      <c r="G56" s="38">
        <f t="shared" si="1"/>
        <v>43</v>
      </c>
      <c r="H56" s="39">
        <f t="shared" si="2"/>
        <v>4.875</v>
      </c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</row>
    <row r="57">
      <c r="A57" s="6" t="s">
        <v>90</v>
      </c>
      <c r="B57" s="6" t="s">
        <v>91</v>
      </c>
      <c r="C57" s="7">
        <v>1.0</v>
      </c>
      <c r="D57" s="7">
        <v>22.0</v>
      </c>
      <c r="E57" s="37">
        <v>1.5</v>
      </c>
      <c r="F57" s="37">
        <v>1.0</v>
      </c>
      <c r="G57" s="38">
        <f t="shared" si="1"/>
        <v>24.5</v>
      </c>
      <c r="H57" s="39">
        <f t="shared" si="2"/>
        <v>3.041666667</v>
      </c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</row>
    <row r="58">
      <c r="A58" s="6" t="s">
        <v>93</v>
      </c>
      <c r="B58" s="6" t="s">
        <v>94</v>
      </c>
      <c r="C58" s="7">
        <v>1.0</v>
      </c>
      <c r="D58" s="7">
        <v>24.0</v>
      </c>
      <c r="E58" s="37">
        <v>6.0</v>
      </c>
      <c r="F58" s="38"/>
      <c r="G58" s="38">
        <f t="shared" si="1"/>
        <v>30</v>
      </c>
      <c r="H58" s="39">
        <f t="shared" si="2"/>
        <v>3.5</v>
      </c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</row>
    <row r="59">
      <c r="A59" s="6" t="s">
        <v>96</v>
      </c>
      <c r="B59" s="6" t="s">
        <v>97</v>
      </c>
      <c r="C59" s="7">
        <v>1.0</v>
      </c>
      <c r="D59" s="7">
        <v>36.0</v>
      </c>
      <c r="E59" s="37">
        <v>7.0</v>
      </c>
      <c r="F59" s="37">
        <v>1.0</v>
      </c>
      <c r="G59" s="38">
        <f t="shared" si="1"/>
        <v>44</v>
      </c>
      <c r="H59" s="39">
        <f t="shared" si="2"/>
        <v>5</v>
      </c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</row>
    <row r="60">
      <c r="A60" s="6" t="s">
        <v>216</v>
      </c>
      <c r="B60" s="6" t="s">
        <v>217</v>
      </c>
      <c r="C60" s="7">
        <v>2.0</v>
      </c>
      <c r="D60" s="7">
        <v>22.0</v>
      </c>
      <c r="E60" s="37">
        <v>7.0</v>
      </c>
      <c r="F60" s="37">
        <v>1.0</v>
      </c>
      <c r="G60" s="38">
        <f t="shared" si="1"/>
        <v>30</v>
      </c>
      <c r="H60" s="39">
        <f t="shared" si="2"/>
        <v>3.5</v>
      </c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</row>
    <row r="61">
      <c r="A61" s="6" t="s">
        <v>219</v>
      </c>
      <c r="B61" s="6" t="s">
        <v>220</v>
      </c>
      <c r="C61" s="7">
        <v>2.0</v>
      </c>
      <c r="D61" s="7">
        <v>23.0</v>
      </c>
      <c r="E61" s="37">
        <v>6.0</v>
      </c>
      <c r="F61" s="38"/>
      <c r="G61" s="38">
        <f t="shared" si="1"/>
        <v>29</v>
      </c>
      <c r="H61" s="39">
        <f t="shared" si="2"/>
        <v>3.416666667</v>
      </c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</row>
    <row r="62">
      <c r="A62" s="6" t="s">
        <v>222</v>
      </c>
      <c r="B62" s="6" t="s">
        <v>223</v>
      </c>
      <c r="C62" s="7">
        <v>2.0</v>
      </c>
      <c r="D62" s="7">
        <v>27.0</v>
      </c>
      <c r="E62" s="37">
        <v>17.0</v>
      </c>
      <c r="F62" s="38"/>
      <c r="G62" s="38">
        <f t="shared" si="1"/>
        <v>44</v>
      </c>
      <c r="H62" s="39">
        <f t="shared" si="2"/>
        <v>5</v>
      </c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</row>
    <row r="63">
      <c r="A63" s="6" t="s">
        <v>99</v>
      </c>
      <c r="B63" s="6" t="s">
        <v>100</v>
      </c>
      <c r="C63" s="7">
        <v>1.0</v>
      </c>
      <c r="D63" s="7">
        <v>13.0</v>
      </c>
      <c r="E63" s="37">
        <v>4.0</v>
      </c>
      <c r="F63" s="37">
        <v>1.0</v>
      </c>
      <c r="G63" s="38">
        <f t="shared" si="1"/>
        <v>18</v>
      </c>
      <c r="H63" s="39">
        <f t="shared" si="2"/>
        <v>2.5</v>
      </c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</row>
    <row r="64">
      <c r="A64" s="6" t="s">
        <v>225</v>
      </c>
      <c r="B64" s="6" t="s">
        <v>226</v>
      </c>
      <c r="C64" s="7">
        <v>2.0</v>
      </c>
      <c r="D64" s="7">
        <v>30.0</v>
      </c>
      <c r="E64" s="37">
        <v>12.0</v>
      </c>
      <c r="F64" s="37">
        <v>1.0</v>
      </c>
      <c r="G64" s="38">
        <f t="shared" si="1"/>
        <v>43</v>
      </c>
      <c r="H64" s="39">
        <f t="shared" si="2"/>
        <v>4.875</v>
      </c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</row>
    <row r="65">
      <c r="A65" s="6" t="s">
        <v>102</v>
      </c>
      <c r="B65" s="6" t="s">
        <v>103</v>
      </c>
      <c r="C65" s="7">
        <v>1.0</v>
      </c>
      <c r="D65" s="7">
        <v>28.0</v>
      </c>
      <c r="E65" s="37">
        <v>11.0</v>
      </c>
      <c r="F65" s="37"/>
      <c r="G65" s="38">
        <f t="shared" si="1"/>
        <v>39</v>
      </c>
      <c r="H65" s="39">
        <f t="shared" si="2"/>
        <v>4.375</v>
      </c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</row>
    <row r="66">
      <c r="A66" s="6" t="s">
        <v>105</v>
      </c>
      <c r="B66" s="6" t="s">
        <v>106</v>
      </c>
      <c r="C66" s="7">
        <v>1.0</v>
      </c>
      <c r="D66" s="7">
        <v>32.0</v>
      </c>
      <c r="E66" s="37">
        <v>12.5</v>
      </c>
      <c r="F66" s="38"/>
      <c r="G66" s="38">
        <f t="shared" si="1"/>
        <v>44.5</v>
      </c>
      <c r="H66" s="39">
        <f t="shared" si="2"/>
        <v>5.0625</v>
      </c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</row>
    <row r="67">
      <c r="A67" s="6" t="s">
        <v>228</v>
      </c>
      <c r="B67" s="6" t="s">
        <v>229</v>
      </c>
      <c r="C67" s="7">
        <v>2.0</v>
      </c>
      <c r="D67" s="7">
        <v>26.0</v>
      </c>
      <c r="E67" s="37">
        <v>7.0</v>
      </c>
      <c r="F67" s="37">
        <v>1.0</v>
      </c>
      <c r="G67" s="38">
        <f t="shared" si="1"/>
        <v>34</v>
      </c>
      <c r="H67" s="39">
        <f t="shared" si="2"/>
        <v>3.833333333</v>
      </c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</row>
    <row r="68">
      <c r="A68" s="6" t="s">
        <v>108</v>
      </c>
      <c r="B68" s="6" t="s">
        <v>109</v>
      </c>
      <c r="C68" s="7">
        <v>1.0</v>
      </c>
      <c r="D68" s="7">
        <v>31.0</v>
      </c>
      <c r="E68" s="37">
        <v>20.5</v>
      </c>
      <c r="F68" s="37">
        <v>1.0</v>
      </c>
      <c r="G68" s="38">
        <f t="shared" si="1"/>
        <v>52.5</v>
      </c>
      <c r="H68" s="39">
        <f t="shared" si="2"/>
        <v>6.0625</v>
      </c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</row>
    <row r="69">
      <c r="A69" s="6" t="s">
        <v>231</v>
      </c>
      <c r="B69" s="6" t="s">
        <v>232</v>
      </c>
      <c r="C69" s="7">
        <v>2.0</v>
      </c>
      <c r="D69" s="7">
        <v>32.0</v>
      </c>
      <c r="E69" s="37">
        <v>12.0</v>
      </c>
      <c r="F69" s="38"/>
      <c r="G69" s="38">
        <f t="shared" si="1"/>
        <v>44</v>
      </c>
      <c r="H69" s="39">
        <f t="shared" si="2"/>
        <v>5</v>
      </c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</row>
    <row r="70">
      <c r="A70" s="6" t="s">
        <v>111</v>
      </c>
      <c r="B70" s="6" t="s">
        <v>112</v>
      </c>
      <c r="C70" s="7">
        <v>1.0</v>
      </c>
      <c r="D70" s="7">
        <v>24.0</v>
      </c>
      <c r="E70" s="37">
        <v>12.0</v>
      </c>
      <c r="F70" s="38"/>
      <c r="G70" s="38">
        <f t="shared" si="1"/>
        <v>36</v>
      </c>
      <c r="H70" s="39">
        <f t="shared" si="2"/>
        <v>4</v>
      </c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</row>
    <row r="71">
      <c r="A71" s="6" t="s">
        <v>114</v>
      </c>
      <c r="B71" s="6" t="s">
        <v>115</v>
      </c>
      <c r="C71" s="7">
        <v>1.0</v>
      </c>
      <c r="D71" s="7">
        <v>31.0</v>
      </c>
      <c r="E71" s="37">
        <v>12.5</v>
      </c>
      <c r="F71" s="38"/>
      <c r="G71" s="38">
        <f t="shared" si="1"/>
        <v>43.5</v>
      </c>
      <c r="H71" s="39">
        <f t="shared" si="2"/>
        <v>4.9375</v>
      </c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</row>
    <row r="72">
      <c r="A72" s="6" t="s">
        <v>117</v>
      </c>
      <c r="B72" s="6" t="s">
        <v>118</v>
      </c>
      <c r="C72" s="7">
        <v>1.0</v>
      </c>
      <c r="D72" s="7"/>
      <c r="E72" s="37"/>
      <c r="F72" s="38"/>
      <c r="G72" s="38"/>
      <c r="H72" s="42">
        <v>2.4</v>
      </c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</row>
    <row r="73">
      <c r="A73" s="6" t="s">
        <v>234</v>
      </c>
      <c r="B73" s="6" t="s">
        <v>235</v>
      </c>
      <c r="C73" s="7">
        <v>2.0</v>
      </c>
      <c r="D73" s="7">
        <v>28.0</v>
      </c>
      <c r="E73" s="37">
        <v>8.5</v>
      </c>
      <c r="F73" s="37">
        <v>1.0</v>
      </c>
      <c r="G73" s="38">
        <f t="shared" ref="G73:G81" si="3">SUM(D73:F73)</f>
        <v>37.5</v>
      </c>
      <c r="H73" s="39">
        <f t="shared" ref="H73:H81" si="4">IF(IF(G73&gt;=$K$4*0.6,3*(((G73/$K$4)*100-60)/(100-60))+4,3*(G73/($K$4*0.6))+1)&gt;7,7,IF(G73&gt;=$K$4*0.6,3*(((G73/$K$4)*100-60)/(100-60))+4,3*(G73/($K$4*0.6))+1))</f>
        <v>4.1875</v>
      </c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</row>
    <row r="74">
      <c r="A74" s="6" t="s">
        <v>120</v>
      </c>
      <c r="B74" s="6" t="s">
        <v>121</v>
      </c>
      <c r="C74" s="7">
        <v>1.0</v>
      </c>
      <c r="D74" s="7">
        <v>39.0</v>
      </c>
      <c r="E74" s="37">
        <v>16.0</v>
      </c>
      <c r="F74" s="38"/>
      <c r="G74" s="38">
        <f t="shared" si="3"/>
        <v>55</v>
      </c>
      <c r="H74" s="39">
        <f t="shared" si="4"/>
        <v>6.375</v>
      </c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</row>
    <row r="75">
      <c r="A75" s="6" t="s">
        <v>123</v>
      </c>
      <c r="B75" s="6" t="s">
        <v>124</v>
      </c>
      <c r="C75" s="7">
        <v>1.0</v>
      </c>
      <c r="D75" s="7">
        <v>34.0</v>
      </c>
      <c r="E75" s="37">
        <v>9.5</v>
      </c>
      <c r="F75" s="37">
        <v>1.0</v>
      </c>
      <c r="G75" s="38">
        <f t="shared" si="3"/>
        <v>44.5</v>
      </c>
      <c r="H75" s="39">
        <f t="shared" si="4"/>
        <v>5.0625</v>
      </c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</row>
    <row r="76">
      <c r="A76" s="6" t="s">
        <v>126</v>
      </c>
      <c r="B76" s="6" t="s">
        <v>127</v>
      </c>
      <c r="C76" s="7">
        <v>1.0</v>
      </c>
      <c r="D76" s="7">
        <v>31.0</v>
      </c>
      <c r="E76" s="37">
        <v>3.5</v>
      </c>
      <c r="F76" s="37">
        <v>1.0</v>
      </c>
      <c r="G76" s="38">
        <f t="shared" si="3"/>
        <v>35.5</v>
      </c>
      <c r="H76" s="39">
        <f t="shared" si="4"/>
        <v>3.958333333</v>
      </c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</row>
    <row r="77">
      <c r="A77" s="6" t="s">
        <v>237</v>
      </c>
      <c r="B77" s="6" t="s">
        <v>238</v>
      </c>
      <c r="C77" s="7">
        <v>2.0</v>
      </c>
      <c r="D77" s="7">
        <v>27.0</v>
      </c>
      <c r="E77" s="37">
        <v>10.5</v>
      </c>
      <c r="F77" s="37">
        <v>1.0</v>
      </c>
      <c r="G77" s="38">
        <f t="shared" si="3"/>
        <v>38.5</v>
      </c>
      <c r="H77" s="39">
        <f t="shared" si="4"/>
        <v>4.3125</v>
      </c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</row>
    <row r="78">
      <c r="A78" s="6" t="s">
        <v>129</v>
      </c>
      <c r="B78" s="6" t="s">
        <v>130</v>
      </c>
      <c r="C78" s="7">
        <v>1.0</v>
      </c>
      <c r="D78" s="7">
        <v>23.0</v>
      </c>
      <c r="E78" s="37">
        <v>8.5</v>
      </c>
      <c r="F78" s="37">
        <v>1.0</v>
      </c>
      <c r="G78" s="38">
        <f t="shared" si="3"/>
        <v>32.5</v>
      </c>
      <c r="H78" s="39">
        <f t="shared" si="4"/>
        <v>3.708333333</v>
      </c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</row>
    <row r="79">
      <c r="A79" s="6" t="s">
        <v>132</v>
      </c>
      <c r="B79" s="6" t="s">
        <v>133</v>
      </c>
      <c r="C79" s="7">
        <v>1.0</v>
      </c>
      <c r="D79" s="7">
        <v>30.0</v>
      </c>
      <c r="E79" s="37">
        <v>1.0</v>
      </c>
      <c r="F79" s="37">
        <v>1.0</v>
      </c>
      <c r="G79" s="38">
        <f t="shared" si="3"/>
        <v>32</v>
      </c>
      <c r="H79" s="39">
        <f t="shared" si="4"/>
        <v>3.666666667</v>
      </c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</row>
    <row r="80">
      <c r="A80" s="6" t="s">
        <v>240</v>
      </c>
      <c r="B80" s="6" t="s">
        <v>241</v>
      </c>
      <c r="C80" s="7">
        <v>2.0</v>
      </c>
      <c r="D80" s="7">
        <v>22.0</v>
      </c>
      <c r="E80" s="37">
        <v>14.0</v>
      </c>
      <c r="F80" s="37">
        <v>1.0</v>
      </c>
      <c r="G80" s="38">
        <f t="shared" si="3"/>
        <v>37</v>
      </c>
      <c r="H80" s="39">
        <f t="shared" si="4"/>
        <v>4.125</v>
      </c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</row>
    <row r="81">
      <c r="A81" s="6" t="s">
        <v>243</v>
      </c>
      <c r="B81" s="6" t="s">
        <v>244</v>
      </c>
      <c r="C81" s="7">
        <v>2.0</v>
      </c>
      <c r="D81" s="7">
        <v>21.0</v>
      </c>
      <c r="E81" s="37">
        <v>5.0</v>
      </c>
      <c r="F81" s="37">
        <v>1.0</v>
      </c>
      <c r="G81" s="38">
        <f t="shared" si="3"/>
        <v>27</v>
      </c>
      <c r="H81" s="39">
        <f t="shared" si="4"/>
        <v>3.25</v>
      </c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</row>
    <row r="82"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</row>
    <row r="83"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</row>
  </sheetData>
  <autoFilter ref="$A$1:$H$81">
    <sortState ref="A1:H81">
      <sortCondition ref="B1:B81"/>
    </sortState>
  </autoFilter>
  <conditionalFormatting sqref="H2:H83">
    <cfRule type="cellIs" dxfId="4" priority="1" operator="lessThan">
      <formula>3.95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2" max="2" width="43.43"/>
    <col customWidth="1" min="3" max="3" width="13.14"/>
    <col customWidth="1" min="4" max="4" width="19.29"/>
    <col customWidth="1" min="5" max="5" width="18.57"/>
    <col customWidth="1" min="9" max="9" width="12.14"/>
    <col customWidth="1" min="10" max="10" width="7.14"/>
  </cols>
  <sheetData>
    <row r="1">
      <c r="A1" s="4" t="s">
        <v>0</v>
      </c>
      <c r="B1" s="3" t="s">
        <v>1</v>
      </c>
      <c r="C1" s="3" t="s">
        <v>3</v>
      </c>
      <c r="D1" s="3" t="s">
        <v>282</v>
      </c>
      <c r="E1" s="3" t="s">
        <v>283</v>
      </c>
      <c r="F1" s="3" t="s">
        <v>285</v>
      </c>
      <c r="G1" s="3" t="s">
        <v>286</v>
      </c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idden="1">
      <c r="A2" s="6" t="s">
        <v>135</v>
      </c>
      <c r="B2" s="6" t="s">
        <v>136</v>
      </c>
      <c r="C2" s="7">
        <v>2.0</v>
      </c>
      <c r="D2" s="37">
        <v>38.0</v>
      </c>
      <c r="E2" s="37">
        <v>18.5</v>
      </c>
      <c r="F2" s="38">
        <f t="shared" ref="F2:F24" si="1">SUM(D2:E2)</f>
        <v>56.5</v>
      </c>
      <c r="G2" s="39">
        <f t="shared" ref="G2:G24" si="2">IF(IF(F2&gt;=$J$4*0.6,3*(((F2/$J$4)*100-60)/(100-60))+4,3*(F2/($J$4*0.6))+1)&gt;7,7,IF(F2&gt;=$J$4*0.6,3*(((F2/$J$4)*100-60)/(100-60))+4,3*(F2/($J$4*0.6))+1))</f>
        <v>6.5625</v>
      </c>
      <c r="H2" s="36"/>
      <c r="I2" s="36" t="s">
        <v>287</v>
      </c>
      <c r="J2" s="40">
        <v>62.0</v>
      </c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6" t="s">
        <v>6</v>
      </c>
      <c r="B3" s="6" t="s">
        <v>7</v>
      </c>
      <c r="C3" s="7">
        <v>1.0</v>
      </c>
      <c r="D3" s="37">
        <v>28.0</v>
      </c>
      <c r="E3" s="37">
        <v>4.5</v>
      </c>
      <c r="F3" s="38">
        <f t="shared" si="1"/>
        <v>32.5</v>
      </c>
      <c r="G3" s="39">
        <f t="shared" si="2"/>
        <v>3.708333333</v>
      </c>
      <c r="H3" s="36"/>
      <c r="I3" s="36" t="s">
        <v>288</v>
      </c>
      <c r="J3" s="41">
        <f>MAX(F:F)</f>
        <v>58.5</v>
      </c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hidden="1">
      <c r="A4" s="6" t="s">
        <v>138</v>
      </c>
      <c r="B4" s="6" t="s">
        <v>139</v>
      </c>
      <c r="C4" s="7">
        <v>2.0</v>
      </c>
      <c r="D4" s="37">
        <v>31.0</v>
      </c>
      <c r="E4" s="37">
        <v>15.0</v>
      </c>
      <c r="F4" s="38">
        <f t="shared" si="1"/>
        <v>46</v>
      </c>
      <c r="G4" s="39">
        <f t="shared" si="2"/>
        <v>5.25</v>
      </c>
      <c r="H4" s="36"/>
      <c r="I4" s="36" t="s">
        <v>289</v>
      </c>
      <c r="J4" s="40">
        <v>60.0</v>
      </c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6" t="s">
        <v>9</v>
      </c>
      <c r="B5" s="6" t="s">
        <v>10</v>
      </c>
      <c r="C5" s="7">
        <v>1.0</v>
      </c>
      <c r="D5" s="37">
        <v>32.0</v>
      </c>
      <c r="E5" s="37">
        <v>20.0</v>
      </c>
      <c r="F5" s="38">
        <f t="shared" si="1"/>
        <v>52</v>
      </c>
      <c r="G5" s="39">
        <f t="shared" si="2"/>
        <v>6</v>
      </c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hidden="1">
      <c r="A6" s="6" t="s">
        <v>141</v>
      </c>
      <c r="B6" s="6" t="s">
        <v>142</v>
      </c>
      <c r="C6" s="7">
        <v>2.0</v>
      </c>
      <c r="D6" s="37">
        <v>26.0</v>
      </c>
      <c r="E6" s="37">
        <v>12.0</v>
      </c>
      <c r="F6" s="38">
        <f t="shared" si="1"/>
        <v>38</v>
      </c>
      <c r="G6" s="39">
        <f t="shared" si="2"/>
        <v>4.25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6" t="s">
        <v>12</v>
      </c>
      <c r="B7" s="6" t="s">
        <v>13</v>
      </c>
      <c r="C7" s="7">
        <v>1.0</v>
      </c>
      <c r="D7" s="37">
        <v>22.0</v>
      </c>
      <c r="E7" s="37">
        <v>12.5</v>
      </c>
      <c r="F7" s="38">
        <f t="shared" si="1"/>
        <v>34.5</v>
      </c>
      <c r="G7" s="39">
        <f t="shared" si="2"/>
        <v>3.875</v>
      </c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hidden="1">
      <c r="A8" s="6" t="s">
        <v>144</v>
      </c>
      <c r="B8" s="6" t="s">
        <v>145</v>
      </c>
      <c r="C8" s="7">
        <v>2.0</v>
      </c>
      <c r="D8" s="37">
        <v>19.0</v>
      </c>
      <c r="E8" s="37">
        <v>2.0</v>
      </c>
      <c r="F8" s="38">
        <f t="shared" si="1"/>
        <v>21</v>
      </c>
      <c r="G8" s="39">
        <f t="shared" si="2"/>
        <v>2.75</v>
      </c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idden="1">
      <c r="A9" s="6" t="s">
        <v>147</v>
      </c>
      <c r="B9" s="6" t="s">
        <v>148</v>
      </c>
      <c r="C9" s="7">
        <v>2.0</v>
      </c>
      <c r="D9" s="37">
        <v>12.0</v>
      </c>
      <c r="E9" s="37">
        <v>8.0</v>
      </c>
      <c r="F9" s="38">
        <f t="shared" si="1"/>
        <v>20</v>
      </c>
      <c r="G9" s="39">
        <f t="shared" si="2"/>
        <v>2.666666667</v>
      </c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idden="1">
      <c r="A10" s="6" t="s">
        <v>150</v>
      </c>
      <c r="B10" s="6" t="s">
        <v>151</v>
      </c>
      <c r="C10" s="7">
        <v>2.0</v>
      </c>
      <c r="D10" s="37">
        <v>29.0</v>
      </c>
      <c r="E10" s="37">
        <v>11.0</v>
      </c>
      <c r="F10" s="38">
        <f t="shared" si="1"/>
        <v>40</v>
      </c>
      <c r="G10" s="39">
        <f t="shared" si="2"/>
        <v>4.5</v>
      </c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idden="1">
      <c r="A11" s="6" t="s">
        <v>153</v>
      </c>
      <c r="B11" s="6" t="s">
        <v>154</v>
      </c>
      <c r="C11" s="7">
        <v>2.0</v>
      </c>
      <c r="D11" s="37">
        <v>25.0</v>
      </c>
      <c r="E11" s="37">
        <v>17.0</v>
      </c>
      <c r="F11" s="38">
        <f t="shared" si="1"/>
        <v>42</v>
      </c>
      <c r="G11" s="39">
        <f t="shared" si="2"/>
        <v>4.75</v>
      </c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idden="1">
      <c r="A12" s="6" t="s">
        <v>156</v>
      </c>
      <c r="B12" s="6" t="s">
        <v>157</v>
      </c>
      <c r="C12" s="7">
        <v>2.0</v>
      </c>
      <c r="D12" s="37">
        <v>18.0</v>
      </c>
      <c r="E12" s="37">
        <v>11.5</v>
      </c>
      <c r="F12" s="38">
        <f t="shared" si="1"/>
        <v>29.5</v>
      </c>
      <c r="G12" s="39">
        <f t="shared" si="2"/>
        <v>3.458333333</v>
      </c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idden="1">
      <c r="A13" s="6" t="s">
        <v>159</v>
      </c>
      <c r="B13" s="6" t="s">
        <v>160</v>
      </c>
      <c r="C13" s="7">
        <v>2.0</v>
      </c>
      <c r="D13" s="37">
        <v>21.0</v>
      </c>
      <c r="E13" s="37">
        <v>7.5</v>
      </c>
      <c r="F13" s="38">
        <f t="shared" si="1"/>
        <v>28.5</v>
      </c>
      <c r="G13" s="39">
        <f t="shared" si="2"/>
        <v>3.375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idden="1">
      <c r="A14" s="6" t="s">
        <v>162</v>
      </c>
      <c r="B14" s="6" t="s">
        <v>163</v>
      </c>
      <c r="C14" s="7">
        <v>2.0</v>
      </c>
      <c r="D14" s="37">
        <v>28.0</v>
      </c>
      <c r="E14" s="37">
        <v>15.0</v>
      </c>
      <c r="F14" s="38">
        <f t="shared" si="1"/>
        <v>43</v>
      </c>
      <c r="G14" s="39">
        <f t="shared" si="2"/>
        <v>4.875</v>
      </c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idden="1">
      <c r="A15" s="6" t="s">
        <v>165</v>
      </c>
      <c r="B15" s="6" t="s">
        <v>166</v>
      </c>
      <c r="C15" s="7">
        <v>2.0</v>
      </c>
      <c r="D15" s="37">
        <v>19.0</v>
      </c>
      <c r="E15" s="37">
        <v>7.5</v>
      </c>
      <c r="F15" s="38">
        <f t="shared" si="1"/>
        <v>26.5</v>
      </c>
      <c r="G15" s="39">
        <f t="shared" si="2"/>
        <v>3.208333333</v>
      </c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6" t="s">
        <v>15</v>
      </c>
      <c r="B16" s="6" t="s">
        <v>16</v>
      </c>
      <c r="C16" s="7">
        <v>1.0</v>
      </c>
      <c r="D16" s="37">
        <v>14.0</v>
      </c>
      <c r="E16" s="37">
        <v>9.0</v>
      </c>
      <c r="F16" s="38">
        <f t="shared" si="1"/>
        <v>23</v>
      </c>
      <c r="G16" s="39">
        <f t="shared" si="2"/>
        <v>2.916666667</v>
      </c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6" t="s">
        <v>18</v>
      </c>
      <c r="B17" s="6" t="s">
        <v>19</v>
      </c>
      <c r="C17" s="7">
        <v>1.0</v>
      </c>
      <c r="D17" s="37">
        <v>23.0</v>
      </c>
      <c r="E17" s="37">
        <v>15.5</v>
      </c>
      <c r="F17" s="38">
        <f t="shared" si="1"/>
        <v>38.5</v>
      </c>
      <c r="G17" s="39">
        <f t="shared" si="2"/>
        <v>4.3125</v>
      </c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6" t="s">
        <v>21</v>
      </c>
      <c r="B18" s="6" t="s">
        <v>22</v>
      </c>
      <c r="C18" s="7">
        <v>1.0</v>
      </c>
      <c r="D18" s="37">
        <v>32.0</v>
      </c>
      <c r="E18" s="37">
        <v>14.5</v>
      </c>
      <c r="F18" s="38">
        <f t="shared" si="1"/>
        <v>46.5</v>
      </c>
      <c r="G18" s="39">
        <f t="shared" si="2"/>
        <v>5.3125</v>
      </c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6" t="s">
        <v>24</v>
      </c>
      <c r="B19" s="6" t="s">
        <v>25</v>
      </c>
      <c r="C19" s="7">
        <v>1.0</v>
      </c>
      <c r="D19" s="37">
        <v>21.0</v>
      </c>
      <c r="E19" s="37">
        <v>12.5</v>
      </c>
      <c r="F19" s="38">
        <f t="shared" si="1"/>
        <v>33.5</v>
      </c>
      <c r="G19" s="39">
        <f t="shared" si="2"/>
        <v>3.791666667</v>
      </c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idden="1">
      <c r="A20" s="6" t="s">
        <v>168</v>
      </c>
      <c r="B20" s="6" t="s">
        <v>169</v>
      </c>
      <c r="C20" s="7">
        <v>2.0</v>
      </c>
      <c r="D20" s="37">
        <v>19.0</v>
      </c>
      <c r="E20" s="37">
        <v>14.5</v>
      </c>
      <c r="F20" s="38">
        <f t="shared" si="1"/>
        <v>33.5</v>
      </c>
      <c r="G20" s="39">
        <f t="shared" si="2"/>
        <v>3.791666667</v>
      </c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>
      <c r="A21" s="6" t="s">
        <v>27</v>
      </c>
      <c r="B21" s="6" t="s">
        <v>28</v>
      </c>
      <c r="C21" s="7">
        <v>1.0</v>
      </c>
      <c r="D21" s="37">
        <v>30.0</v>
      </c>
      <c r="E21" s="37">
        <v>14.0</v>
      </c>
      <c r="F21" s="38">
        <f t="shared" si="1"/>
        <v>44</v>
      </c>
      <c r="G21" s="39">
        <f t="shared" si="2"/>
        <v>5</v>
      </c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>
      <c r="A22" s="6" t="s">
        <v>30</v>
      </c>
      <c r="B22" s="6" t="s">
        <v>31</v>
      </c>
      <c r="C22" s="7">
        <v>1.0</v>
      </c>
      <c r="D22" s="37">
        <v>14.0</v>
      </c>
      <c r="E22" s="37">
        <v>6.5</v>
      </c>
      <c r="F22" s="38">
        <f t="shared" si="1"/>
        <v>20.5</v>
      </c>
      <c r="G22" s="39">
        <f t="shared" si="2"/>
        <v>2.708333333</v>
      </c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>
      <c r="A23" s="6" t="s">
        <v>33</v>
      </c>
      <c r="B23" s="6" t="s">
        <v>34</v>
      </c>
      <c r="C23" s="7">
        <v>1.0</v>
      </c>
      <c r="D23" s="37">
        <v>17.0</v>
      </c>
      <c r="E23" s="37">
        <v>7.0</v>
      </c>
      <c r="F23" s="38">
        <f t="shared" si="1"/>
        <v>24</v>
      </c>
      <c r="G23" s="39">
        <f t="shared" si="2"/>
        <v>3</v>
      </c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>
      <c r="A24" s="6" t="s">
        <v>36</v>
      </c>
      <c r="B24" s="6" t="s">
        <v>37</v>
      </c>
      <c r="C24" s="7">
        <v>1.0</v>
      </c>
      <c r="D24" s="37">
        <v>17.0</v>
      </c>
      <c r="E24" s="37">
        <v>9.0</v>
      </c>
      <c r="F24" s="38">
        <f t="shared" si="1"/>
        <v>26</v>
      </c>
      <c r="G24" s="43">
        <f t="shared" si="2"/>
        <v>3.166666667</v>
      </c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idden="1">
      <c r="A25" s="6" t="s">
        <v>171</v>
      </c>
      <c r="B25" s="6" t="s">
        <v>172</v>
      </c>
      <c r="C25" s="7">
        <v>2.0</v>
      </c>
      <c r="D25" s="44"/>
      <c r="E25" s="44"/>
      <c r="F25" s="45"/>
      <c r="G25" s="46">
        <v>3.6</v>
      </c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idden="1">
      <c r="A26" s="6" t="s">
        <v>174</v>
      </c>
      <c r="B26" s="6" t="s">
        <v>175</v>
      </c>
      <c r="C26" s="7">
        <v>2.0</v>
      </c>
      <c r="D26" s="37">
        <v>23.0</v>
      </c>
      <c r="E26" s="37">
        <v>7.0</v>
      </c>
      <c r="F26" s="38">
        <f t="shared" ref="F26:F56" si="3">SUM(D26:E26)</f>
        <v>30</v>
      </c>
      <c r="G26" s="39">
        <f t="shared" ref="G26:G56" si="4">IF(IF(F26&gt;=$J$4*0.6,3*(((F26/$J$4)*100-60)/(100-60))+4,3*(F26/($J$4*0.6))+1)&gt;7,7,IF(F26&gt;=$J$4*0.6,3*(((F26/$J$4)*100-60)/(100-60))+4,3*(F26/($J$4*0.6))+1))</f>
        <v>3.5</v>
      </c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idden="1">
      <c r="A27" s="6" t="s">
        <v>177</v>
      </c>
      <c r="B27" s="6" t="s">
        <v>178</v>
      </c>
      <c r="C27" s="7">
        <v>2.0</v>
      </c>
      <c r="D27" s="37">
        <v>19.0</v>
      </c>
      <c r="E27" s="37">
        <v>12.0</v>
      </c>
      <c r="F27" s="38">
        <f t="shared" si="3"/>
        <v>31</v>
      </c>
      <c r="G27" s="39">
        <f t="shared" si="4"/>
        <v>3.583333333</v>
      </c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idden="1">
      <c r="A28" s="6" t="s">
        <v>180</v>
      </c>
      <c r="B28" s="6" t="s">
        <v>181</v>
      </c>
      <c r="C28" s="7">
        <v>2.0</v>
      </c>
      <c r="D28" s="37">
        <v>15.0</v>
      </c>
      <c r="E28" s="37">
        <v>8.0</v>
      </c>
      <c r="F28" s="38">
        <f t="shared" si="3"/>
        <v>23</v>
      </c>
      <c r="G28" s="39">
        <f t="shared" si="4"/>
        <v>2.916666667</v>
      </c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>
      <c r="A29" s="6" t="s">
        <v>39</v>
      </c>
      <c r="B29" s="6" t="s">
        <v>40</v>
      </c>
      <c r="C29" s="7">
        <v>1.0</v>
      </c>
      <c r="D29" s="37">
        <v>33.0</v>
      </c>
      <c r="E29" s="37">
        <v>12.5</v>
      </c>
      <c r="F29" s="38">
        <f t="shared" si="3"/>
        <v>45.5</v>
      </c>
      <c r="G29" s="39">
        <f t="shared" si="4"/>
        <v>5.1875</v>
      </c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idden="1">
      <c r="A30" s="6" t="s">
        <v>183</v>
      </c>
      <c r="B30" s="6" t="s">
        <v>184</v>
      </c>
      <c r="C30" s="7">
        <v>2.0</v>
      </c>
      <c r="D30" s="37">
        <v>29.0</v>
      </c>
      <c r="E30" s="37">
        <v>17.0</v>
      </c>
      <c r="F30" s="38">
        <f t="shared" si="3"/>
        <v>46</v>
      </c>
      <c r="G30" s="39">
        <f t="shared" si="4"/>
        <v>5.25</v>
      </c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idden="1">
      <c r="A31" s="6" t="s">
        <v>186</v>
      </c>
      <c r="B31" s="6" t="s">
        <v>187</v>
      </c>
      <c r="C31" s="7">
        <v>2.0</v>
      </c>
      <c r="D31" s="37">
        <v>27.0</v>
      </c>
      <c r="E31" s="37">
        <v>12.0</v>
      </c>
      <c r="F31" s="38">
        <f t="shared" si="3"/>
        <v>39</v>
      </c>
      <c r="G31" s="39">
        <f t="shared" si="4"/>
        <v>4.375</v>
      </c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idden="1">
      <c r="A32" s="6" t="s">
        <v>189</v>
      </c>
      <c r="B32" s="6" t="s">
        <v>190</v>
      </c>
      <c r="C32" s="7">
        <v>2.0</v>
      </c>
      <c r="D32" s="37">
        <v>20.0</v>
      </c>
      <c r="E32" s="37">
        <v>9.5</v>
      </c>
      <c r="F32" s="38">
        <f t="shared" si="3"/>
        <v>29.5</v>
      </c>
      <c r="G32" s="39">
        <f t="shared" si="4"/>
        <v>3.458333333</v>
      </c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idden="1">
      <c r="A33" s="6" t="s">
        <v>192</v>
      </c>
      <c r="B33" s="6" t="s">
        <v>193</v>
      </c>
      <c r="C33" s="7">
        <v>2.0</v>
      </c>
      <c r="D33" s="37">
        <v>22.0</v>
      </c>
      <c r="E33" s="37">
        <v>10.0</v>
      </c>
      <c r="F33" s="38">
        <f t="shared" si="3"/>
        <v>32</v>
      </c>
      <c r="G33" s="39">
        <f t="shared" si="4"/>
        <v>3.666666667</v>
      </c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>
      <c r="A34" s="6" t="s">
        <v>42</v>
      </c>
      <c r="B34" s="6" t="s">
        <v>43</v>
      </c>
      <c r="C34" s="7">
        <v>1.0</v>
      </c>
      <c r="D34" s="37">
        <v>27.0</v>
      </c>
      <c r="E34" s="37">
        <v>11.0</v>
      </c>
      <c r="F34" s="38">
        <f t="shared" si="3"/>
        <v>38</v>
      </c>
      <c r="G34" s="39">
        <f t="shared" si="4"/>
        <v>4.25</v>
      </c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>
      <c r="A35" s="6" t="s">
        <v>45</v>
      </c>
      <c r="B35" s="6" t="s">
        <v>46</v>
      </c>
      <c r="C35" s="7">
        <v>1.0</v>
      </c>
      <c r="D35" s="37">
        <v>35.0</v>
      </c>
      <c r="E35" s="37">
        <v>18.0</v>
      </c>
      <c r="F35" s="38">
        <f t="shared" si="3"/>
        <v>53</v>
      </c>
      <c r="G35" s="39">
        <f t="shared" si="4"/>
        <v>6.125</v>
      </c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>
      <c r="A36" s="6" t="s">
        <v>48</v>
      </c>
      <c r="B36" s="6" t="s">
        <v>49</v>
      </c>
      <c r="C36" s="7">
        <v>1.0</v>
      </c>
      <c r="D36" s="37">
        <v>21.0</v>
      </c>
      <c r="E36" s="37">
        <v>7.0</v>
      </c>
      <c r="F36" s="38">
        <f t="shared" si="3"/>
        <v>28</v>
      </c>
      <c r="G36" s="39">
        <f t="shared" si="4"/>
        <v>3.333333333</v>
      </c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>
      <c r="A37" s="6" t="s">
        <v>51</v>
      </c>
      <c r="B37" s="6" t="s">
        <v>52</v>
      </c>
      <c r="C37" s="7">
        <v>1.0</v>
      </c>
      <c r="D37" s="37">
        <v>28.0</v>
      </c>
      <c r="E37" s="37">
        <v>10.0</v>
      </c>
      <c r="F37" s="38">
        <f t="shared" si="3"/>
        <v>38</v>
      </c>
      <c r="G37" s="39">
        <f t="shared" si="4"/>
        <v>4.25</v>
      </c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idden="1">
      <c r="A38" s="6" t="s">
        <v>195</v>
      </c>
      <c r="B38" s="6" t="s">
        <v>196</v>
      </c>
      <c r="C38" s="7">
        <v>2.0</v>
      </c>
      <c r="D38" s="37">
        <v>38.0</v>
      </c>
      <c r="E38" s="37">
        <v>15.0</v>
      </c>
      <c r="F38" s="38">
        <f t="shared" si="3"/>
        <v>53</v>
      </c>
      <c r="G38" s="39">
        <f t="shared" si="4"/>
        <v>6.125</v>
      </c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>
      <c r="A39" s="6" t="s">
        <v>54</v>
      </c>
      <c r="B39" s="6" t="s">
        <v>55</v>
      </c>
      <c r="C39" s="7">
        <v>1.0</v>
      </c>
      <c r="D39" s="37">
        <v>27.0</v>
      </c>
      <c r="E39" s="37">
        <v>12.0</v>
      </c>
      <c r="F39" s="38">
        <f t="shared" si="3"/>
        <v>39</v>
      </c>
      <c r="G39" s="39">
        <f t="shared" si="4"/>
        <v>4.375</v>
      </c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idden="1">
      <c r="A40" s="6" t="s">
        <v>198</v>
      </c>
      <c r="B40" s="6" t="s">
        <v>199</v>
      </c>
      <c r="C40" s="7">
        <v>2.0</v>
      </c>
      <c r="D40" s="37">
        <v>16.0</v>
      </c>
      <c r="E40" s="37">
        <v>5.5</v>
      </c>
      <c r="F40" s="38">
        <f t="shared" si="3"/>
        <v>21.5</v>
      </c>
      <c r="G40" s="39">
        <f t="shared" si="4"/>
        <v>2.791666667</v>
      </c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>
      <c r="A41" s="6" t="s">
        <v>57</v>
      </c>
      <c r="B41" s="6" t="s">
        <v>58</v>
      </c>
      <c r="C41" s="7">
        <v>1.0</v>
      </c>
      <c r="D41" s="37">
        <v>20.0</v>
      </c>
      <c r="E41" s="37">
        <v>13.5</v>
      </c>
      <c r="F41" s="38">
        <f t="shared" si="3"/>
        <v>33.5</v>
      </c>
      <c r="G41" s="39">
        <f t="shared" si="4"/>
        <v>3.791666667</v>
      </c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>
      <c r="A42" s="6" t="s">
        <v>60</v>
      </c>
      <c r="B42" s="6" t="s">
        <v>61</v>
      </c>
      <c r="C42" s="7">
        <v>1.0</v>
      </c>
      <c r="D42" s="37">
        <v>30.0</v>
      </c>
      <c r="E42" s="37">
        <v>12.5</v>
      </c>
      <c r="F42" s="38">
        <f t="shared" si="3"/>
        <v>42.5</v>
      </c>
      <c r="G42" s="39">
        <f t="shared" si="4"/>
        <v>4.8125</v>
      </c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>
      <c r="A43" s="6" t="s">
        <v>63</v>
      </c>
      <c r="B43" s="6" t="s">
        <v>64</v>
      </c>
      <c r="C43" s="7">
        <v>1.0</v>
      </c>
      <c r="D43" s="37">
        <v>28.0</v>
      </c>
      <c r="E43" s="37">
        <v>18.5</v>
      </c>
      <c r="F43" s="38">
        <f t="shared" si="3"/>
        <v>46.5</v>
      </c>
      <c r="G43" s="39">
        <f t="shared" si="4"/>
        <v>5.3125</v>
      </c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>
      <c r="A44" s="6" t="s">
        <v>66</v>
      </c>
      <c r="B44" s="6" t="s">
        <v>67</v>
      </c>
      <c r="C44" s="7">
        <v>1.0</v>
      </c>
      <c r="D44" s="37">
        <v>16.0</v>
      </c>
      <c r="E44" s="37">
        <v>5.5</v>
      </c>
      <c r="F44" s="38">
        <f t="shared" si="3"/>
        <v>21.5</v>
      </c>
      <c r="G44" s="39">
        <f t="shared" si="4"/>
        <v>2.791666667</v>
      </c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idden="1">
      <c r="A45" s="6" t="s">
        <v>201</v>
      </c>
      <c r="B45" s="6" t="s">
        <v>202</v>
      </c>
      <c r="C45" s="7">
        <v>2.0</v>
      </c>
      <c r="D45" s="37">
        <v>25.0</v>
      </c>
      <c r="E45" s="37">
        <v>17.0</v>
      </c>
      <c r="F45" s="38">
        <f t="shared" si="3"/>
        <v>42</v>
      </c>
      <c r="G45" s="39">
        <f t="shared" si="4"/>
        <v>4.75</v>
      </c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>
      <c r="A46" s="6" t="s">
        <v>69</v>
      </c>
      <c r="B46" s="6" t="s">
        <v>70</v>
      </c>
      <c r="C46" s="7">
        <v>1.0</v>
      </c>
      <c r="D46" s="37">
        <v>14.0</v>
      </c>
      <c r="E46" s="37">
        <v>6.5</v>
      </c>
      <c r="F46" s="38">
        <f t="shared" si="3"/>
        <v>20.5</v>
      </c>
      <c r="G46" s="39">
        <f t="shared" si="4"/>
        <v>2.708333333</v>
      </c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idden="1">
      <c r="A47" s="6" t="s">
        <v>204</v>
      </c>
      <c r="B47" s="6" t="s">
        <v>205</v>
      </c>
      <c r="C47" s="7">
        <v>2.0</v>
      </c>
      <c r="D47" s="37">
        <v>23.0</v>
      </c>
      <c r="E47" s="37">
        <v>11.5</v>
      </c>
      <c r="F47" s="38">
        <f t="shared" si="3"/>
        <v>34.5</v>
      </c>
      <c r="G47" s="39">
        <f t="shared" si="4"/>
        <v>3.875</v>
      </c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idden="1">
      <c r="A48" s="6" t="s">
        <v>207</v>
      </c>
      <c r="B48" s="6" t="s">
        <v>208</v>
      </c>
      <c r="C48" s="7">
        <v>2.0</v>
      </c>
      <c r="D48" s="37">
        <v>21.0</v>
      </c>
      <c r="E48" s="37">
        <v>11.0</v>
      </c>
      <c r="F48" s="38">
        <f t="shared" si="3"/>
        <v>32</v>
      </c>
      <c r="G48" s="39">
        <f t="shared" si="4"/>
        <v>3.666666667</v>
      </c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>
      <c r="A49" s="6" t="s">
        <v>72</v>
      </c>
      <c r="B49" s="6" t="s">
        <v>73</v>
      </c>
      <c r="C49" s="7">
        <v>1.0</v>
      </c>
      <c r="D49" s="37">
        <v>33.0</v>
      </c>
      <c r="E49" s="37">
        <v>16.5</v>
      </c>
      <c r="F49" s="38">
        <f t="shared" si="3"/>
        <v>49.5</v>
      </c>
      <c r="G49" s="39">
        <f t="shared" si="4"/>
        <v>5.6875</v>
      </c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idden="1">
      <c r="A50" s="6" t="s">
        <v>210</v>
      </c>
      <c r="B50" s="6" t="s">
        <v>211</v>
      </c>
      <c r="C50" s="7">
        <v>2.0</v>
      </c>
      <c r="D50" s="37">
        <v>16.0</v>
      </c>
      <c r="E50" s="37">
        <v>7.5</v>
      </c>
      <c r="F50" s="38">
        <f t="shared" si="3"/>
        <v>23.5</v>
      </c>
      <c r="G50" s="39">
        <f t="shared" si="4"/>
        <v>2.958333333</v>
      </c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>
      <c r="A51" s="6" t="s">
        <v>75</v>
      </c>
      <c r="B51" s="6" t="s">
        <v>76</v>
      </c>
      <c r="C51" s="7">
        <v>1.0</v>
      </c>
      <c r="D51" s="37">
        <v>35.0</v>
      </c>
      <c r="E51" s="37">
        <v>20.0</v>
      </c>
      <c r="F51" s="38">
        <f t="shared" si="3"/>
        <v>55</v>
      </c>
      <c r="G51" s="39">
        <f t="shared" si="4"/>
        <v>6.375</v>
      </c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idden="1">
      <c r="A52" s="6" t="s">
        <v>213</v>
      </c>
      <c r="B52" s="6" t="s">
        <v>214</v>
      </c>
      <c r="C52" s="7">
        <v>2.0</v>
      </c>
      <c r="D52" s="37">
        <v>36.0</v>
      </c>
      <c r="E52" s="37">
        <v>15.5</v>
      </c>
      <c r="F52" s="38">
        <f t="shared" si="3"/>
        <v>51.5</v>
      </c>
      <c r="G52" s="39">
        <f t="shared" si="4"/>
        <v>5.9375</v>
      </c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>
      <c r="A53" s="6" t="s">
        <v>78</v>
      </c>
      <c r="B53" s="6" t="s">
        <v>79</v>
      </c>
      <c r="C53" s="7">
        <v>1.0</v>
      </c>
      <c r="D53" s="37">
        <v>9.0</v>
      </c>
      <c r="E53" s="37">
        <v>10.0</v>
      </c>
      <c r="F53" s="38">
        <f t="shared" si="3"/>
        <v>19</v>
      </c>
      <c r="G53" s="39">
        <f t="shared" si="4"/>
        <v>2.583333333</v>
      </c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>
      <c r="A54" s="6" t="s">
        <v>81</v>
      </c>
      <c r="B54" s="6" t="s">
        <v>82</v>
      </c>
      <c r="C54" s="7">
        <v>1.0</v>
      </c>
      <c r="D54" s="37">
        <v>21.0</v>
      </c>
      <c r="E54" s="37">
        <v>8.0</v>
      </c>
      <c r="F54" s="38">
        <f t="shared" si="3"/>
        <v>29</v>
      </c>
      <c r="G54" s="39">
        <f t="shared" si="4"/>
        <v>3.416666667</v>
      </c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>
      <c r="A55" s="6" t="s">
        <v>84</v>
      </c>
      <c r="B55" s="6" t="s">
        <v>85</v>
      </c>
      <c r="C55" s="7">
        <v>1.0</v>
      </c>
      <c r="D55" s="37">
        <v>29.0</v>
      </c>
      <c r="E55" s="37">
        <v>8.5</v>
      </c>
      <c r="F55" s="38">
        <f t="shared" si="3"/>
        <v>37.5</v>
      </c>
      <c r="G55" s="39">
        <f t="shared" si="4"/>
        <v>4.1875</v>
      </c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>
      <c r="A56" s="6" t="s">
        <v>87</v>
      </c>
      <c r="B56" s="6" t="s">
        <v>88</v>
      </c>
      <c r="C56" s="7">
        <v>1.0</v>
      </c>
      <c r="D56" s="37">
        <v>25.0</v>
      </c>
      <c r="E56" s="37">
        <v>5.5</v>
      </c>
      <c r="F56" s="38">
        <f t="shared" si="3"/>
        <v>30.5</v>
      </c>
      <c r="G56" s="39">
        <f t="shared" si="4"/>
        <v>3.541666667</v>
      </c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>
      <c r="A57" s="6" t="s">
        <v>90</v>
      </c>
      <c r="B57" s="6" t="s">
        <v>91</v>
      </c>
      <c r="C57" s="7">
        <v>1.0</v>
      </c>
      <c r="D57" s="44"/>
      <c r="E57" s="44"/>
      <c r="F57" s="45"/>
      <c r="G57" s="46">
        <v>2.1</v>
      </c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>
      <c r="A58" s="6" t="s">
        <v>93</v>
      </c>
      <c r="B58" s="6" t="s">
        <v>94</v>
      </c>
      <c r="C58" s="7">
        <v>1.0</v>
      </c>
      <c r="D58" s="37">
        <v>14.0</v>
      </c>
      <c r="E58" s="37">
        <v>8.0</v>
      </c>
      <c r="F58" s="38">
        <f t="shared" ref="F58:F79" si="5">SUM(D58:E58)</f>
        <v>22</v>
      </c>
      <c r="G58" s="39">
        <f t="shared" ref="G58:G79" si="6">IF(IF(F58&gt;=$J$4*0.6,3*(((F58/$J$4)*100-60)/(100-60))+4,3*(F58/($J$4*0.6))+1)&gt;7,7,IF(F58&gt;=$J$4*0.6,3*(((F58/$J$4)*100-60)/(100-60))+4,3*(F58/($J$4*0.6))+1))</f>
        <v>2.833333333</v>
      </c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>
      <c r="A59" s="6" t="s">
        <v>96</v>
      </c>
      <c r="B59" s="6" t="s">
        <v>97</v>
      </c>
      <c r="C59" s="7">
        <v>1.0</v>
      </c>
      <c r="D59" s="37">
        <v>37.0</v>
      </c>
      <c r="E59" s="37">
        <v>21.5</v>
      </c>
      <c r="F59" s="38">
        <f t="shared" si="5"/>
        <v>58.5</v>
      </c>
      <c r="G59" s="39">
        <f t="shared" si="6"/>
        <v>6.8125</v>
      </c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idden="1">
      <c r="A60" s="6" t="s">
        <v>216</v>
      </c>
      <c r="B60" s="6" t="s">
        <v>217</v>
      </c>
      <c r="C60" s="7">
        <v>2.0</v>
      </c>
      <c r="D60" s="37">
        <v>14.0</v>
      </c>
      <c r="E60" s="37">
        <v>9.0</v>
      </c>
      <c r="F60" s="38">
        <f t="shared" si="5"/>
        <v>23</v>
      </c>
      <c r="G60" s="39">
        <f t="shared" si="6"/>
        <v>2.916666667</v>
      </c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idden="1">
      <c r="A61" s="6" t="s">
        <v>219</v>
      </c>
      <c r="B61" s="6" t="s">
        <v>220</v>
      </c>
      <c r="C61" s="7">
        <v>2.0</v>
      </c>
      <c r="D61" s="37">
        <v>11.0</v>
      </c>
      <c r="E61" s="37">
        <v>6.5</v>
      </c>
      <c r="F61" s="38">
        <f t="shared" si="5"/>
        <v>17.5</v>
      </c>
      <c r="G61" s="39">
        <f t="shared" si="6"/>
        <v>2.458333333</v>
      </c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idden="1">
      <c r="A62" s="6" t="s">
        <v>222</v>
      </c>
      <c r="B62" s="6" t="s">
        <v>223</v>
      </c>
      <c r="C62" s="7">
        <v>2.0</v>
      </c>
      <c r="D62" s="37">
        <v>26.0</v>
      </c>
      <c r="E62" s="37">
        <v>12.0</v>
      </c>
      <c r="F62" s="38">
        <f t="shared" si="5"/>
        <v>38</v>
      </c>
      <c r="G62" s="39">
        <f t="shared" si="6"/>
        <v>4.25</v>
      </c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>
      <c r="A63" s="6" t="s">
        <v>99</v>
      </c>
      <c r="B63" s="6" t="s">
        <v>100</v>
      </c>
      <c r="C63" s="7">
        <v>1.0</v>
      </c>
      <c r="D63" s="37">
        <v>16.0</v>
      </c>
      <c r="E63" s="37">
        <v>11.0</v>
      </c>
      <c r="F63" s="38">
        <f t="shared" si="5"/>
        <v>27</v>
      </c>
      <c r="G63" s="39">
        <f t="shared" si="6"/>
        <v>3.25</v>
      </c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idden="1">
      <c r="A64" s="6" t="s">
        <v>225</v>
      </c>
      <c r="B64" s="6" t="s">
        <v>226</v>
      </c>
      <c r="C64" s="7">
        <v>2.0</v>
      </c>
      <c r="D64" s="37">
        <v>19.0</v>
      </c>
      <c r="E64" s="37">
        <v>8.5</v>
      </c>
      <c r="F64" s="38">
        <f t="shared" si="5"/>
        <v>27.5</v>
      </c>
      <c r="G64" s="39">
        <f t="shared" si="6"/>
        <v>3.291666667</v>
      </c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>
      <c r="A65" s="6" t="s">
        <v>102</v>
      </c>
      <c r="B65" s="6" t="s">
        <v>103</v>
      </c>
      <c r="C65" s="7">
        <v>1.0</v>
      </c>
      <c r="D65" s="37">
        <v>23.0</v>
      </c>
      <c r="E65" s="37">
        <v>12.0</v>
      </c>
      <c r="F65" s="38">
        <f t="shared" si="5"/>
        <v>35</v>
      </c>
      <c r="G65" s="39">
        <f t="shared" si="6"/>
        <v>3.916666667</v>
      </c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>
      <c r="A66" s="6" t="s">
        <v>105</v>
      </c>
      <c r="B66" s="6" t="s">
        <v>106</v>
      </c>
      <c r="C66" s="7">
        <v>1.0</v>
      </c>
      <c r="D66" s="37">
        <v>31.0</v>
      </c>
      <c r="E66" s="37">
        <v>12.0</v>
      </c>
      <c r="F66" s="38">
        <f t="shared" si="5"/>
        <v>43</v>
      </c>
      <c r="G66" s="39">
        <f t="shared" si="6"/>
        <v>4.875</v>
      </c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idden="1">
      <c r="A67" s="6" t="s">
        <v>228</v>
      </c>
      <c r="B67" s="6" t="s">
        <v>229</v>
      </c>
      <c r="C67" s="7">
        <v>2.0</v>
      </c>
      <c r="D67" s="37">
        <v>17.0</v>
      </c>
      <c r="E67" s="37">
        <v>5.0</v>
      </c>
      <c r="F67" s="38">
        <f t="shared" si="5"/>
        <v>22</v>
      </c>
      <c r="G67" s="39">
        <f t="shared" si="6"/>
        <v>2.833333333</v>
      </c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>
      <c r="A68" s="6" t="s">
        <v>108</v>
      </c>
      <c r="B68" s="6" t="s">
        <v>109</v>
      </c>
      <c r="C68" s="7">
        <v>1.0</v>
      </c>
      <c r="D68" s="37">
        <v>17.0</v>
      </c>
      <c r="E68" s="37">
        <v>7.0</v>
      </c>
      <c r="F68" s="38">
        <f t="shared" si="5"/>
        <v>24</v>
      </c>
      <c r="G68" s="39">
        <f t="shared" si="6"/>
        <v>3</v>
      </c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idden="1">
      <c r="A69" s="6" t="s">
        <v>231</v>
      </c>
      <c r="B69" s="6" t="s">
        <v>232</v>
      </c>
      <c r="C69" s="7">
        <v>2.0</v>
      </c>
      <c r="D69" s="37">
        <v>21.0</v>
      </c>
      <c r="E69" s="37">
        <v>17.5</v>
      </c>
      <c r="F69" s="38">
        <f t="shared" si="5"/>
        <v>38.5</v>
      </c>
      <c r="G69" s="39">
        <f t="shared" si="6"/>
        <v>4.3125</v>
      </c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>
      <c r="A70" s="6" t="s">
        <v>111</v>
      </c>
      <c r="B70" s="6" t="s">
        <v>112</v>
      </c>
      <c r="C70" s="7">
        <v>1.0</v>
      </c>
      <c r="D70" s="37">
        <v>22.0</v>
      </c>
      <c r="E70" s="37">
        <v>9.0</v>
      </c>
      <c r="F70" s="38">
        <f t="shared" si="5"/>
        <v>31</v>
      </c>
      <c r="G70" s="39">
        <f t="shared" si="6"/>
        <v>3.583333333</v>
      </c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>
      <c r="A71" s="6" t="s">
        <v>114</v>
      </c>
      <c r="B71" s="6" t="s">
        <v>115</v>
      </c>
      <c r="C71" s="7">
        <v>1.0</v>
      </c>
      <c r="D71" s="37">
        <v>30.0</v>
      </c>
      <c r="E71" s="37">
        <v>11.5</v>
      </c>
      <c r="F71" s="38">
        <f t="shared" si="5"/>
        <v>41.5</v>
      </c>
      <c r="G71" s="39">
        <f t="shared" si="6"/>
        <v>4.6875</v>
      </c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>
      <c r="A72" s="6" t="s">
        <v>117</v>
      </c>
      <c r="B72" s="6" t="s">
        <v>118</v>
      </c>
      <c r="C72" s="7">
        <v>1.0</v>
      </c>
      <c r="D72" s="37">
        <v>16.0</v>
      </c>
      <c r="E72" s="37">
        <v>6.5</v>
      </c>
      <c r="F72" s="38">
        <f t="shared" si="5"/>
        <v>22.5</v>
      </c>
      <c r="G72" s="39">
        <f t="shared" si="6"/>
        <v>2.875</v>
      </c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idden="1">
      <c r="A73" s="6" t="s">
        <v>234</v>
      </c>
      <c r="B73" s="6" t="s">
        <v>235</v>
      </c>
      <c r="C73" s="7">
        <v>2.0</v>
      </c>
      <c r="D73" s="37">
        <v>18.0</v>
      </c>
      <c r="E73" s="37">
        <v>8.5</v>
      </c>
      <c r="F73" s="38">
        <f t="shared" si="5"/>
        <v>26.5</v>
      </c>
      <c r="G73" s="39">
        <f t="shared" si="6"/>
        <v>3.208333333</v>
      </c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>
      <c r="A74" s="6" t="s">
        <v>120</v>
      </c>
      <c r="B74" s="6" t="s">
        <v>121</v>
      </c>
      <c r="C74" s="7">
        <v>1.0</v>
      </c>
      <c r="D74" s="37">
        <v>18.0</v>
      </c>
      <c r="E74" s="37">
        <v>6.5</v>
      </c>
      <c r="F74" s="38">
        <f t="shared" si="5"/>
        <v>24.5</v>
      </c>
      <c r="G74" s="39">
        <f t="shared" si="6"/>
        <v>3.041666667</v>
      </c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>
      <c r="A75" s="6" t="s">
        <v>123</v>
      </c>
      <c r="B75" s="6" t="s">
        <v>124</v>
      </c>
      <c r="C75" s="7">
        <v>1.0</v>
      </c>
      <c r="D75" s="37">
        <v>20.0</v>
      </c>
      <c r="E75" s="37">
        <v>10.0</v>
      </c>
      <c r="F75" s="38">
        <f t="shared" si="5"/>
        <v>30</v>
      </c>
      <c r="G75" s="39">
        <f t="shared" si="6"/>
        <v>3.5</v>
      </c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>
      <c r="A76" s="6" t="s">
        <v>126</v>
      </c>
      <c r="B76" s="6" t="s">
        <v>127</v>
      </c>
      <c r="C76" s="7">
        <v>1.0</v>
      </c>
      <c r="D76" s="37">
        <v>20.0</v>
      </c>
      <c r="E76" s="37">
        <v>15.5</v>
      </c>
      <c r="F76" s="38">
        <f t="shared" si="5"/>
        <v>35.5</v>
      </c>
      <c r="G76" s="39">
        <f t="shared" si="6"/>
        <v>3.958333333</v>
      </c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idden="1">
      <c r="A77" s="6" t="s">
        <v>237</v>
      </c>
      <c r="B77" s="6" t="s">
        <v>238</v>
      </c>
      <c r="C77" s="7">
        <v>2.0</v>
      </c>
      <c r="D77" s="37">
        <v>25.0</v>
      </c>
      <c r="E77" s="37">
        <v>5.5</v>
      </c>
      <c r="F77" s="38">
        <f t="shared" si="5"/>
        <v>30.5</v>
      </c>
      <c r="G77" s="43">
        <f t="shared" si="6"/>
        <v>3.541666667</v>
      </c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>
      <c r="A78" s="6" t="s">
        <v>129</v>
      </c>
      <c r="B78" s="6" t="s">
        <v>130</v>
      </c>
      <c r="C78" s="7">
        <v>1.0</v>
      </c>
      <c r="D78" s="37">
        <v>23.0</v>
      </c>
      <c r="E78" s="37">
        <v>9.5</v>
      </c>
      <c r="F78" s="38">
        <f t="shared" si="5"/>
        <v>32.5</v>
      </c>
      <c r="G78" s="39">
        <f t="shared" si="6"/>
        <v>3.708333333</v>
      </c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>
      <c r="A79" s="6" t="s">
        <v>132</v>
      </c>
      <c r="B79" s="6" t="s">
        <v>133</v>
      </c>
      <c r="C79" s="7">
        <v>1.0</v>
      </c>
      <c r="D79" s="37">
        <v>23.0</v>
      </c>
      <c r="E79" s="37">
        <v>7.0</v>
      </c>
      <c r="F79" s="38">
        <f t="shared" si="5"/>
        <v>30</v>
      </c>
      <c r="G79" s="39">
        <f t="shared" si="6"/>
        <v>3.5</v>
      </c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idden="1">
      <c r="A80" s="6" t="s">
        <v>240</v>
      </c>
      <c r="B80" s="6" t="s">
        <v>241</v>
      </c>
      <c r="C80" s="7">
        <v>2.0</v>
      </c>
      <c r="D80" s="44"/>
      <c r="E80" s="44"/>
      <c r="F80" s="45"/>
      <c r="G80" s="46">
        <v>2.1</v>
      </c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idden="1">
      <c r="A81" s="6" t="s">
        <v>243</v>
      </c>
      <c r="B81" s="6" t="s">
        <v>244</v>
      </c>
      <c r="C81" s="7">
        <v>2.0</v>
      </c>
      <c r="D81" s="37">
        <v>34.0</v>
      </c>
      <c r="E81" s="37">
        <v>7.5</v>
      </c>
      <c r="F81" s="38">
        <f>SUM(D81:E81)</f>
        <v>41.5</v>
      </c>
      <c r="G81" s="39">
        <f>IF(IF(F81&gt;=$J$4*0.6,3*(((F81/$J$4)*100-60)/(100-60))+4,3*(F81/($J$4*0.6))+1)&gt;7,7,IF(F81&gt;=$J$4*0.6,3*(((F81/$J$4)*100-60)/(100-60))+4,3*(F81/($J$4*0.6))+1))</f>
        <v>4.6875</v>
      </c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</sheetData>
  <autoFilter ref="$A$1:$G$81">
    <filterColumn colId="2">
      <filters>
        <filter val="1"/>
      </filters>
    </filterColumn>
    <sortState ref="A1:G81">
      <sortCondition ref="B1:B81"/>
    </sortState>
  </autoFilter>
  <conditionalFormatting sqref="G2:G81">
    <cfRule type="cellIs" dxfId="4" priority="1" operator="lessThan">
      <formula>3.95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11.57"/>
    <col customWidth="1" min="2" max="2" width="48.43"/>
    <col customWidth="1" min="3" max="3" width="12.71"/>
    <col customWidth="1" min="4" max="13" width="5.86"/>
    <col customWidth="1" min="14" max="14" width="11.57"/>
  </cols>
  <sheetData>
    <row r="1">
      <c r="A1" s="47" t="s">
        <v>0</v>
      </c>
      <c r="B1" s="48" t="s">
        <v>1</v>
      </c>
      <c r="C1" s="3" t="s">
        <v>3</v>
      </c>
      <c r="D1" s="49" t="s">
        <v>291</v>
      </c>
      <c r="E1" s="50" t="s">
        <v>292</v>
      </c>
      <c r="F1" s="51" t="s">
        <v>293</v>
      </c>
      <c r="G1" s="52" t="s">
        <v>294</v>
      </c>
      <c r="H1" s="51" t="s">
        <v>295</v>
      </c>
      <c r="I1" s="49" t="s">
        <v>296</v>
      </c>
      <c r="J1" s="51" t="s">
        <v>297</v>
      </c>
      <c r="K1" s="51" t="s">
        <v>298</v>
      </c>
      <c r="L1" s="51" t="s">
        <v>299</v>
      </c>
      <c r="M1" s="51" t="s">
        <v>300</v>
      </c>
      <c r="N1" s="49" t="s">
        <v>301</v>
      </c>
    </row>
    <row r="2">
      <c r="A2" s="6"/>
      <c r="B2" s="48" t="s">
        <v>302</v>
      </c>
      <c r="C2" s="7"/>
      <c r="D2" s="53">
        <v>45881.0</v>
      </c>
      <c r="E2" s="53">
        <v>45895.0</v>
      </c>
      <c r="F2" s="53">
        <v>45902.0</v>
      </c>
      <c r="G2" s="54">
        <v>45909.0</v>
      </c>
      <c r="H2" s="53">
        <v>45916.0</v>
      </c>
      <c r="I2" s="53">
        <v>45937.0</v>
      </c>
      <c r="J2" s="55">
        <v>45944.0</v>
      </c>
      <c r="K2" s="55">
        <v>45951.0</v>
      </c>
      <c r="L2" s="55">
        <v>45958.0</v>
      </c>
      <c r="M2" s="53">
        <v>45965.0</v>
      </c>
      <c r="N2" s="56"/>
    </row>
    <row r="3">
      <c r="A3" s="6" t="s">
        <v>6</v>
      </c>
      <c r="B3" s="6" t="s">
        <v>7</v>
      </c>
      <c r="C3" s="7">
        <v>1.0</v>
      </c>
      <c r="D3" s="37">
        <v>6.4</v>
      </c>
      <c r="E3" s="57">
        <v>4.0</v>
      </c>
      <c r="F3" s="57">
        <v>2.0</v>
      </c>
      <c r="G3" s="58"/>
      <c r="H3" s="57">
        <v>3.0</v>
      </c>
      <c r="I3" s="57">
        <v>5.0</v>
      </c>
      <c r="J3" s="59">
        <v>6.0</v>
      </c>
      <c r="K3" s="60">
        <v>3.0</v>
      </c>
      <c r="L3" s="61">
        <v>4.0</v>
      </c>
      <c r="M3" s="61">
        <v>3.0</v>
      </c>
      <c r="N3" s="56">
        <f t="shared" ref="N3:N8" si="1">(SUM(D3:M3)-MIN(D3:M3))/(COUNT(D3:M3)-1)</f>
        <v>4.3</v>
      </c>
    </row>
    <row r="4">
      <c r="A4" s="6" t="s">
        <v>9</v>
      </c>
      <c r="B4" s="6" t="s">
        <v>10</v>
      </c>
      <c r="C4" s="7">
        <v>1.0</v>
      </c>
      <c r="D4" s="57">
        <v>7.0</v>
      </c>
      <c r="E4" s="57">
        <v>7.0</v>
      </c>
      <c r="F4" s="57">
        <v>6.0</v>
      </c>
      <c r="G4" s="58"/>
      <c r="H4" s="57">
        <v>5.5</v>
      </c>
      <c r="I4" s="57">
        <v>6.0</v>
      </c>
      <c r="J4" s="59">
        <v>3.5</v>
      </c>
      <c r="K4" s="61">
        <v>6.0</v>
      </c>
      <c r="L4" s="61">
        <v>4.0</v>
      </c>
      <c r="M4" s="61">
        <v>6.5</v>
      </c>
      <c r="N4" s="56">
        <f t="shared" si="1"/>
        <v>6</v>
      </c>
    </row>
    <row r="5">
      <c r="A5" s="6" t="s">
        <v>12</v>
      </c>
      <c r="B5" s="6" t="s">
        <v>13</v>
      </c>
      <c r="C5" s="7">
        <v>1.0</v>
      </c>
      <c r="D5" s="62">
        <v>4.6</v>
      </c>
      <c r="E5" s="63">
        <v>6.0</v>
      </c>
      <c r="F5" s="57">
        <v>4.0</v>
      </c>
      <c r="G5" s="58"/>
      <c r="H5" s="57">
        <v>2.5</v>
      </c>
      <c r="I5" s="57">
        <v>3.0</v>
      </c>
      <c r="J5" s="59">
        <v>7.0</v>
      </c>
      <c r="K5" s="61">
        <v>1.0</v>
      </c>
      <c r="L5" s="61">
        <v>1.0</v>
      </c>
      <c r="M5" s="61">
        <v>4.5</v>
      </c>
      <c r="N5" s="56">
        <f t="shared" si="1"/>
        <v>4.075</v>
      </c>
    </row>
    <row r="6">
      <c r="A6" s="6" t="s">
        <v>15</v>
      </c>
      <c r="B6" s="6" t="s">
        <v>16</v>
      </c>
      <c r="C6" s="7">
        <v>1.0</v>
      </c>
      <c r="D6" s="63">
        <v>7.0</v>
      </c>
      <c r="E6" s="57">
        <v>2.0</v>
      </c>
      <c r="F6" s="57">
        <v>5.0</v>
      </c>
      <c r="G6" s="58"/>
      <c r="H6" s="57">
        <v>2.5</v>
      </c>
      <c r="I6" s="57">
        <v>1.0</v>
      </c>
      <c r="J6" s="59" t="s">
        <v>280</v>
      </c>
      <c r="K6" s="61">
        <v>4.0</v>
      </c>
      <c r="L6" s="61">
        <v>6.0</v>
      </c>
      <c r="M6" s="64" t="s">
        <v>280</v>
      </c>
      <c r="N6" s="56">
        <f t="shared" si="1"/>
        <v>4.416666667</v>
      </c>
    </row>
    <row r="7">
      <c r="A7" s="6" t="s">
        <v>18</v>
      </c>
      <c r="B7" s="6" t="s">
        <v>19</v>
      </c>
      <c r="C7" s="7">
        <v>1.0</v>
      </c>
      <c r="D7" s="57">
        <v>7.0</v>
      </c>
      <c r="E7" s="57">
        <v>7.0</v>
      </c>
      <c r="F7" s="57">
        <v>7.0</v>
      </c>
      <c r="G7" s="58"/>
      <c r="H7" s="57">
        <v>2.5</v>
      </c>
      <c r="I7" s="57">
        <v>7.0</v>
      </c>
      <c r="J7" s="59">
        <v>6.5</v>
      </c>
      <c r="K7" s="61">
        <v>1.0</v>
      </c>
      <c r="L7" s="65" t="s">
        <v>280</v>
      </c>
      <c r="M7" s="61">
        <v>3.0</v>
      </c>
      <c r="N7" s="56">
        <f t="shared" si="1"/>
        <v>5.714285714</v>
      </c>
    </row>
    <row r="8">
      <c r="A8" s="6" t="s">
        <v>21</v>
      </c>
      <c r="B8" s="6" t="s">
        <v>22</v>
      </c>
      <c r="C8" s="7">
        <v>1.0</v>
      </c>
      <c r="D8" s="37">
        <v>5.8</v>
      </c>
      <c r="E8" s="57">
        <v>7.0</v>
      </c>
      <c r="F8" s="57">
        <v>7.0</v>
      </c>
      <c r="G8" s="58"/>
      <c r="H8" s="57">
        <v>2.0</v>
      </c>
      <c r="I8" s="57">
        <v>3.0</v>
      </c>
      <c r="J8" s="65" t="s">
        <v>280</v>
      </c>
      <c r="K8" s="61">
        <v>1.0</v>
      </c>
      <c r="L8" s="61">
        <v>7.0</v>
      </c>
      <c r="M8" s="61">
        <v>7.0</v>
      </c>
      <c r="N8" s="56">
        <f t="shared" si="1"/>
        <v>5.542857143</v>
      </c>
    </row>
    <row r="9">
      <c r="A9" s="6" t="s">
        <v>24</v>
      </c>
      <c r="B9" s="6" t="s">
        <v>25</v>
      </c>
      <c r="C9" s="7">
        <v>1.0</v>
      </c>
      <c r="D9" s="57">
        <v>7.0</v>
      </c>
      <c r="E9" s="57">
        <v>5.5</v>
      </c>
      <c r="F9" s="57">
        <v>4.0</v>
      </c>
      <c r="G9" s="58"/>
      <c r="H9" s="57">
        <v>2.5</v>
      </c>
      <c r="I9" s="57">
        <v>4.0</v>
      </c>
      <c r="J9" s="59">
        <v>7.0</v>
      </c>
      <c r="K9" s="61">
        <v>4.0</v>
      </c>
      <c r="L9" s="61">
        <v>7.0</v>
      </c>
      <c r="M9" s="61">
        <v>5.0</v>
      </c>
      <c r="N9" s="66">
        <f>(SUM(D9:M9)-MIN(D9:M9))/(COUNT(D9:M9)-1)+0.1</f>
        <v>5.5375</v>
      </c>
    </row>
    <row r="10">
      <c r="A10" s="6" t="s">
        <v>27</v>
      </c>
      <c r="B10" s="6" t="s">
        <v>28</v>
      </c>
      <c r="C10" s="7">
        <v>1.0</v>
      </c>
      <c r="D10" s="37">
        <v>1.6</v>
      </c>
      <c r="E10" s="57">
        <v>7.0</v>
      </c>
      <c r="F10" s="57">
        <v>7.0</v>
      </c>
      <c r="G10" s="58"/>
      <c r="H10" s="57">
        <v>7.0</v>
      </c>
      <c r="I10" s="57">
        <v>7.0</v>
      </c>
      <c r="J10" s="59">
        <v>7.0</v>
      </c>
      <c r="K10" s="61">
        <v>7.0</v>
      </c>
      <c r="L10" s="61">
        <v>7.0</v>
      </c>
      <c r="M10" s="61">
        <v>7.0</v>
      </c>
      <c r="N10" s="56">
        <f t="shared" ref="N10:N18" si="2">(SUM(D10:M10)-MIN(D10:M10))/(COUNT(D10:M10)-1)</f>
        <v>7</v>
      </c>
    </row>
    <row r="11">
      <c r="A11" s="6" t="s">
        <v>30</v>
      </c>
      <c r="B11" s="6" t="s">
        <v>31</v>
      </c>
      <c r="C11" s="7">
        <v>1.0</v>
      </c>
      <c r="D11" s="37">
        <v>6.4</v>
      </c>
      <c r="E11" s="57">
        <v>7.0</v>
      </c>
      <c r="F11" s="57">
        <v>6.0</v>
      </c>
      <c r="G11" s="58"/>
      <c r="H11" s="63" t="s">
        <v>280</v>
      </c>
      <c r="I11" s="57">
        <v>2.0</v>
      </c>
      <c r="J11" s="59">
        <v>7.0</v>
      </c>
      <c r="K11" s="65" t="s">
        <v>280</v>
      </c>
      <c r="L11" s="61">
        <v>1.0</v>
      </c>
      <c r="M11" s="61">
        <v>4.0</v>
      </c>
      <c r="N11" s="56">
        <f t="shared" si="2"/>
        <v>5.4</v>
      </c>
    </row>
    <row r="12">
      <c r="A12" s="6" t="s">
        <v>33</v>
      </c>
      <c r="B12" s="6" t="s">
        <v>34</v>
      </c>
      <c r="C12" s="7">
        <v>1.0</v>
      </c>
      <c r="D12" s="57">
        <v>1.0</v>
      </c>
      <c r="E12" s="57">
        <v>1.0</v>
      </c>
      <c r="F12" s="57">
        <v>3.0</v>
      </c>
      <c r="G12" s="58"/>
      <c r="H12" s="57">
        <v>2.5</v>
      </c>
      <c r="I12" s="57">
        <v>1.0</v>
      </c>
      <c r="J12" s="59">
        <v>5.5</v>
      </c>
      <c r="K12" s="61">
        <v>2.0</v>
      </c>
      <c r="L12" s="61">
        <v>1.0</v>
      </c>
      <c r="M12" s="61">
        <v>3.0</v>
      </c>
      <c r="N12" s="56">
        <f t="shared" si="2"/>
        <v>2.375</v>
      </c>
    </row>
    <row r="13">
      <c r="A13" s="6" t="s">
        <v>36</v>
      </c>
      <c r="B13" s="6" t="s">
        <v>37</v>
      </c>
      <c r="C13" s="7">
        <v>1.0</v>
      </c>
      <c r="D13" s="67">
        <v>5.5</v>
      </c>
      <c r="E13" s="57">
        <v>5.5</v>
      </c>
      <c r="F13" s="57">
        <v>2.0</v>
      </c>
      <c r="G13" s="58"/>
      <c r="H13" s="57">
        <v>4.0</v>
      </c>
      <c r="I13" s="57">
        <v>2.0</v>
      </c>
      <c r="J13" s="59">
        <v>3.0</v>
      </c>
      <c r="K13" s="61">
        <v>1.5</v>
      </c>
      <c r="L13" s="61">
        <v>1.0</v>
      </c>
      <c r="M13" s="61">
        <v>3.5</v>
      </c>
      <c r="N13" s="56">
        <f t="shared" si="2"/>
        <v>3.375</v>
      </c>
    </row>
    <row r="14">
      <c r="A14" s="6" t="s">
        <v>39</v>
      </c>
      <c r="B14" s="6" t="s">
        <v>40</v>
      </c>
      <c r="C14" s="7">
        <v>1.0</v>
      </c>
      <c r="D14" s="37">
        <v>5.8</v>
      </c>
      <c r="E14" s="57">
        <v>7.0</v>
      </c>
      <c r="F14" s="57">
        <v>6.0</v>
      </c>
      <c r="G14" s="58"/>
      <c r="H14" s="67">
        <v>7.0</v>
      </c>
      <c r="I14" s="57">
        <v>7.0</v>
      </c>
      <c r="J14" s="59">
        <v>7.0</v>
      </c>
      <c r="K14" s="61">
        <v>7.0</v>
      </c>
      <c r="L14" s="61">
        <v>6.0</v>
      </c>
      <c r="M14" s="61">
        <v>6.0</v>
      </c>
      <c r="N14" s="56">
        <f t="shared" si="2"/>
        <v>6.625</v>
      </c>
    </row>
    <row r="15">
      <c r="A15" s="6" t="s">
        <v>42</v>
      </c>
      <c r="B15" s="6" t="s">
        <v>43</v>
      </c>
      <c r="C15" s="7">
        <v>1.0</v>
      </c>
      <c r="D15" s="37">
        <v>4.6</v>
      </c>
      <c r="E15" s="57">
        <v>5.0</v>
      </c>
      <c r="F15" s="57">
        <v>5.0</v>
      </c>
      <c r="G15" s="68"/>
      <c r="H15" s="57">
        <v>3.0</v>
      </c>
      <c r="I15" s="57">
        <v>3.0</v>
      </c>
      <c r="J15" s="59">
        <v>7.0</v>
      </c>
      <c r="K15" s="61">
        <v>6.0</v>
      </c>
      <c r="L15" s="61">
        <v>7.0</v>
      </c>
      <c r="M15" s="61">
        <v>2.0</v>
      </c>
      <c r="N15" s="56">
        <f t="shared" si="2"/>
        <v>5.075</v>
      </c>
    </row>
    <row r="16">
      <c r="A16" s="6" t="s">
        <v>45</v>
      </c>
      <c r="B16" s="6" t="s">
        <v>46</v>
      </c>
      <c r="C16" s="7">
        <v>1.0</v>
      </c>
      <c r="D16" s="57">
        <v>7.0</v>
      </c>
      <c r="E16" s="57">
        <v>5.5</v>
      </c>
      <c r="F16" s="57">
        <v>7.0</v>
      </c>
      <c r="G16" s="58"/>
      <c r="H16" s="57">
        <v>6.0</v>
      </c>
      <c r="I16" s="57">
        <v>7.0</v>
      </c>
      <c r="J16" s="59">
        <v>7.0</v>
      </c>
      <c r="K16" s="61">
        <v>7.0</v>
      </c>
      <c r="L16" s="61">
        <v>7.0</v>
      </c>
      <c r="M16" s="61">
        <v>1.0</v>
      </c>
      <c r="N16" s="56">
        <f t="shared" si="2"/>
        <v>6.6875</v>
      </c>
    </row>
    <row r="17">
      <c r="A17" s="6" t="s">
        <v>48</v>
      </c>
      <c r="B17" s="6" t="s">
        <v>49</v>
      </c>
      <c r="C17" s="7">
        <v>1.0</v>
      </c>
      <c r="D17" s="57">
        <v>7.0</v>
      </c>
      <c r="E17" s="57">
        <v>6.0</v>
      </c>
      <c r="F17" s="57">
        <v>5.0</v>
      </c>
      <c r="G17" s="58"/>
      <c r="H17" s="57">
        <v>2.0</v>
      </c>
      <c r="I17" s="57">
        <v>2.0</v>
      </c>
      <c r="J17" s="59">
        <v>7.0</v>
      </c>
      <c r="K17" s="69">
        <v>1.0</v>
      </c>
      <c r="L17" s="61">
        <v>1.0</v>
      </c>
      <c r="M17" s="61">
        <v>7.0</v>
      </c>
      <c r="N17" s="56">
        <f t="shared" si="2"/>
        <v>4.625</v>
      </c>
    </row>
    <row r="18">
      <c r="A18" s="6" t="s">
        <v>51</v>
      </c>
      <c r="B18" s="6" t="s">
        <v>52</v>
      </c>
      <c r="C18" s="7">
        <v>1.0</v>
      </c>
      <c r="D18" s="57">
        <v>1.6</v>
      </c>
      <c r="E18" s="57">
        <v>3.5</v>
      </c>
      <c r="F18" s="57">
        <v>4.0</v>
      </c>
      <c r="G18" s="58"/>
      <c r="H18" s="57">
        <v>1.0</v>
      </c>
      <c r="I18" s="57">
        <v>5.0</v>
      </c>
      <c r="J18" s="59">
        <v>1.0</v>
      </c>
      <c r="K18" s="61">
        <v>3.0</v>
      </c>
      <c r="L18" s="69">
        <v>1.0</v>
      </c>
      <c r="M18" s="70">
        <v>1.0</v>
      </c>
      <c r="N18" s="56">
        <f t="shared" si="2"/>
        <v>2.5125</v>
      </c>
    </row>
    <row r="19">
      <c r="A19" s="6" t="s">
        <v>54</v>
      </c>
      <c r="B19" s="6" t="s">
        <v>55</v>
      </c>
      <c r="C19" s="7">
        <v>1.0</v>
      </c>
      <c r="D19" s="57">
        <v>7.0</v>
      </c>
      <c r="E19" s="57">
        <v>7.0</v>
      </c>
      <c r="F19" s="57">
        <v>2.0</v>
      </c>
      <c r="G19" s="58"/>
      <c r="H19" s="57">
        <v>3.0</v>
      </c>
      <c r="I19" s="57">
        <v>4.0</v>
      </c>
      <c r="J19" s="59">
        <v>7.0</v>
      </c>
      <c r="K19" s="61">
        <v>2.5</v>
      </c>
      <c r="L19" s="61">
        <v>7.0</v>
      </c>
      <c r="M19" s="61">
        <v>6.5</v>
      </c>
      <c r="N19" s="66">
        <f>(SUM(D19:M19)-MIN(D19:M19))/(COUNT(D19:M19)-1)+0.1</f>
        <v>5.6</v>
      </c>
    </row>
    <row r="20">
      <c r="A20" s="6" t="s">
        <v>57</v>
      </c>
      <c r="B20" s="6" t="s">
        <v>58</v>
      </c>
      <c r="C20" s="7">
        <v>1.0</v>
      </c>
      <c r="D20" s="71">
        <v>1.0</v>
      </c>
      <c r="E20" s="63">
        <v>4.5</v>
      </c>
      <c r="F20" s="57">
        <v>2.0</v>
      </c>
      <c r="G20" s="58"/>
      <c r="H20" s="57">
        <v>1.0</v>
      </c>
      <c r="I20" s="57">
        <v>1.0</v>
      </c>
      <c r="J20" s="59">
        <v>7.0</v>
      </c>
      <c r="K20" s="61">
        <v>3.5</v>
      </c>
      <c r="L20" s="61">
        <v>7.0</v>
      </c>
      <c r="M20" s="61">
        <v>2.0</v>
      </c>
      <c r="N20" s="56">
        <f>(SUM(D20:M20)-MIN(D20:M20))/(COUNT(D20:M20)-1)</f>
        <v>3.5</v>
      </c>
    </row>
    <row r="21">
      <c r="A21" s="6" t="s">
        <v>60</v>
      </c>
      <c r="B21" s="6" t="s">
        <v>61</v>
      </c>
      <c r="C21" s="7">
        <v>1.0</v>
      </c>
      <c r="D21" s="57">
        <v>7.0</v>
      </c>
      <c r="E21" s="57">
        <v>6.0</v>
      </c>
      <c r="F21" s="57">
        <v>3.0</v>
      </c>
      <c r="G21" s="58"/>
      <c r="H21" s="57">
        <v>5.5</v>
      </c>
      <c r="I21" s="57">
        <v>7.0</v>
      </c>
      <c r="J21" s="59">
        <v>7.0</v>
      </c>
      <c r="K21" s="61">
        <v>7.0</v>
      </c>
      <c r="L21" s="61">
        <v>4.5</v>
      </c>
      <c r="M21" s="61">
        <v>7.0</v>
      </c>
      <c r="N21" s="66">
        <f>(SUM(D21:M21)-MIN(D21:M21))/(COUNT(D21:M21)-1)+0.1</f>
        <v>6.475</v>
      </c>
    </row>
    <row r="22">
      <c r="A22" s="6" t="s">
        <v>63</v>
      </c>
      <c r="B22" s="6" t="s">
        <v>64</v>
      </c>
      <c r="C22" s="7">
        <v>1.0</v>
      </c>
      <c r="D22" s="57">
        <v>7.0</v>
      </c>
      <c r="E22" s="57">
        <v>5.0</v>
      </c>
      <c r="F22" s="57">
        <v>7.0</v>
      </c>
      <c r="G22" s="58"/>
      <c r="H22" s="57">
        <v>5.0</v>
      </c>
      <c r="I22" s="57">
        <v>7.0</v>
      </c>
      <c r="J22" s="59">
        <v>7.0</v>
      </c>
      <c r="K22" s="61">
        <v>7.0</v>
      </c>
      <c r="L22" s="61">
        <v>7.0</v>
      </c>
      <c r="M22" s="61">
        <v>2.0</v>
      </c>
      <c r="N22" s="56">
        <f t="shared" ref="N22:N30" si="3">(SUM(D22:M22)-MIN(D22:M22))/(COUNT(D22:M22)-1)</f>
        <v>6.5</v>
      </c>
    </row>
    <row r="23">
      <c r="A23" s="6" t="s">
        <v>66</v>
      </c>
      <c r="B23" s="6" t="s">
        <v>67</v>
      </c>
      <c r="C23" s="7">
        <v>1.0</v>
      </c>
      <c r="D23" s="57">
        <v>1.0</v>
      </c>
      <c r="E23" s="57">
        <v>1.0</v>
      </c>
      <c r="F23" s="57" t="s">
        <v>280</v>
      </c>
      <c r="G23" s="58"/>
      <c r="H23" s="57">
        <v>1.0</v>
      </c>
      <c r="I23" s="57">
        <v>1.0</v>
      </c>
      <c r="J23" s="69">
        <v>1.0</v>
      </c>
      <c r="K23" s="69">
        <v>1.0</v>
      </c>
      <c r="L23" s="61">
        <v>1.0</v>
      </c>
      <c r="M23" s="70">
        <v>1.0</v>
      </c>
      <c r="N23" s="56">
        <f t="shared" si="3"/>
        <v>1</v>
      </c>
    </row>
    <row r="24">
      <c r="A24" s="6" t="s">
        <v>69</v>
      </c>
      <c r="B24" s="6" t="s">
        <v>70</v>
      </c>
      <c r="C24" s="7">
        <v>1.0</v>
      </c>
      <c r="D24" s="37">
        <v>5.8</v>
      </c>
      <c r="E24" s="57">
        <v>6.0</v>
      </c>
      <c r="F24" s="57">
        <v>7.0</v>
      </c>
      <c r="G24" s="58"/>
      <c r="H24" s="57">
        <v>4.0</v>
      </c>
      <c r="I24" s="57">
        <v>5.0</v>
      </c>
      <c r="J24" s="59">
        <v>7.0</v>
      </c>
      <c r="K24" s="61">
        <v>4.0</v>
      </c>
      <c r="L24" s="69">
        <v>1.0</v>
      </c>
      <c r="M24" s="61">
        <v>2.0</v>
      </c>
      <c r="N24" s="56">
        <f t="shared" si="3"/>
        <v>5.1</v>
      </c>
    </row>
    <row r="25">
      <c r="A25" s="6" t="s">
        <v>72</v>
      </c>
      <c r="B25" s="6" t="s">
        <v>73</v>
      </c>
      <c r="C25" s="7">
        <v>1.0</v>
      </c>
      <c r="D25" s="57">
        <v>7.0</v>
      </c>
      <c r="E25" s="57">
        <v>7.0</v>
      </c>
      <c r="F25" s="57">
        <v>7.0</v>
      </c>
      <c r="G25" s="58"/>
      <c r="H25" s="57">
        <v>5.5</v>
      </c>
      <c r="I25" s="57">
        <v>5.0</v>
      </c>
      <c r="J25" s="59">
        <v>5.5</v>
      </c>
      <c r="K25" s="61">
        <v>5.5</v>
      </c>
      <c r="L25" s="61">
        <v>7.0</v>
      </c>
      <c r="M25" s="61">
        <v>5.5</v>
      </c>
      <c r="N25" s="56">
        <f t="shared" si="3"/>
        <v>6.25</v>
      </c>
    </row>
    <row r="26">
      <c r="A26" s="6" t="s">
        <v>75</v>
      </c>
      <c r="B26" s="6" t="s">
        <v>76</v>
      </c>
      <c r="C26" s="7">
        <v>1.0</v>
      </c>
      <c r="D26" s="37">
        <v>6.4</v>
      </c>
      <c r="E26" s="57">
        <v>7.0</v>
      </c>
      <c r="F26" s="57">
        <v>6.0</v>
      </c>
      <c r="G26" s="58"/>
      <c r="H26" s="57">
        <v>6.5</v>
      </c>
      <c r="I26" s="57">
        <v>7.0</v>
      </c>
      <c r="J26" s="59">
        <v>7.0</v>
      </c>
      <c r="K26" s="61">
        <v>6.5</v>
      </c>
      <c r="L26" s="61">
        <v>7.0</v>
      </c>
      <c r="M26" s="61">
        <v>7.0</v>
      </c>
      <c r="N26" s="56">
        <f t="shared" si="3"/>
        <v>6.8</v>
      </c>
    </row>
    <row r="27">
      <c r="A27" s="6" t="s">
        <v>78</v>
      </c>
      <c r="B27" s="6" t="s">
        <v>79</v>
      </c>
      <c r="C27" s="7">
        <v>1.0</v>
      </c>
      <c r="D27" s="67">
        <v>4.0</v>
      </c>
      <c r="E27" s="57">
        <v>5.0</v>
      </c>
      <c r="F27" s="57">
        <v>4.0</v>
      </c>
      <c r="G27" s="58"/>
      <c r="H27" s="57">
        <v>1.5</v>
      </c>
      <c r="I27" s="57">
        <v>1.0</v>
      </c>
      <c r="J27" s="59">
        <v>7.0</v>
      </c>
      <c r="K27" s="61">
        <v>1.0</v>
      </c>
      <c r="L27" s="61">
        <v>1.0</v>
      </c>
      <c r="M27" s="61">
        <v>4.5</v>
      </c>
      <c r="N27" s="56">
        <f t="shared" si="3"/>
        <v>3.5</v>
      </c>
    </row>
    <row r="28">
      <c r="A28" s="6" t="s">
        <v>81</v>
      </c>
      <c r="B28" s="6" t="s">
        <v>82</v>
      </c>
      <c r="C28" s="7">
        <v>1.0</v>
      </c>
      <c r="D28" s="37">
        <v>6.4</v>
      </c>
      <c r="E28" s="57">
        <v>3.0</v>
      </c>
      <c r="F28" s="57">
        <v>7.0</v>
      </c>
      <c r="G28" s="58"/>
      <c r="H28" s="63" t="s">
        <v>280</v>
      </c>
      <c r="I28" s="63" t="s">
        <v>280</v>
      </c>
      <c r="J28" s="65" t="s">
        <v>280</v>
      </c>
      <c r="K28" s="65" t="s">
        <v>280</v>
      </c>
      <c r="L28" s="65" t="s">
        <v>280</v>
      </c>
      <c r="M28" s="61">
        <v>2.0</v>
      </c>
      <c r="N28" s="56">
        <f t="shared" si="3"/>
        <v>5.466666667</v>
      </c>
    </row>
    <row r="29">
      <c r="A29" s="6" t="s">
        <v>84</v>
      </c>
      <c r="B29" s="6" t="s">
        <v>85</v>
      </c>
      <c r="C29" s="7">
        <v>1.0</v>
      </c>
      <c r="D29" s="57">
        <v>4.6</v>
      </c>
      <c r="E29" s="57">
        <v>7.0</v>
      </c>
      <c r="F29" s="57">
        <v>3.0</v>
      </c>
      <c r="G29" s="58"/>
      <c r="H29" s="67">
        <v>5.0</v>
      </c>
      <c r="I29" s="57">
        <v>5.0</v>
      </c>
      <c r="J29" s="59">
        <v>7.0</v>
      </c>
      <c r="K29" s="61">
        <v>3.5</v>
      </c>
      <c r="L29" s="61">
        <v>4.0</v>
      </c>
      <c r="M29" s="61">
        <v>2.0</v>
      </c>
      <c r="N29" s="56">
        <f t="shared" si="3"/>
        <v>4.8875</v>
      </c>
    </row>
    <row r="30">
      <c r="A30" s="6" t="s">
        <v>87</v>
      </c>
      <c r="B30" s="6" t="s">
        <v>88</v>
      </c>
      <c r="C30" s="7">
        <v>1.0</v>
      </c>
      <c r="D30" s="37">
        <v>6.4</v>
      </c>
      <c r="E30" s="57">
        <v>4.0</v>
      </c>
      <c r="F30" s="57">
        <v>5.0</v>
      </c>
      <c r="G30" s="58"/>
      <c r="H30" s="57">
        <v>2.5</v>
      </c>
      <c r="I30" s="63" t="s">
        <v>280</v>
      </c>
      <c r="J30" s="65" t="s">
        <v>280</v>
      </c>
      <c r="K30" s="61">
        <v>2.0</v>
      </c>
      <c r="L30" s="60">
        <v>5.5</v>
      </c>
      <c r="M30" s="61">
        <v>2.0</v>
      </c>
      <c r="N30" s="56">
        <f t="shared" si="3"/>
        <v>4.233333333</v>
      </c>
    </row>
    <row r="31">
      <c r="A31" s="6" t="s">
        <v>90</v>
      </c>
      <c r="B31" s="6" t="s">
        <v>91</v>
      </c>
      <c r="C31" s="7">
        <v>1.0</v>
      </c>
      <c r="D31" s="57">
        <v>4.0</v>
      </c>
      <c r="E31" s="57">
        <v>7.0</v>
      </c>
      <c r="F31" s="57">
        <v>5.0</v>
      </c>
      <c r="G31" s="58"/>
      <c r="H31" s="57">
        <v>2.5</v>
      </c>
      <c r="I31" s="57">
        <v>1.0</v>
      </c>
      <c r="J31" s="59">
        <v>7.0</v>
      </c>
      <c r="K31" s="61">
        <v>7.0</v>
      </c>
      <c r="L31" s="61">
        <v>4.0</v>
      </c>
      <c r="M31" s="61">
        <v>2.0</v>
      </c>
      <c r="N31" s="66">
        <f>(SUM(D31:M31)-MIN(D31:M31))/(COUNT(D31:M31)-1)+0.1</f>
        <v>4.9125</v>
      </c>
    </row>
    <row r="32">
      <c r="A32" s="6" t="s">
        <v>93</v>
      </c>
      <c r="B32" s="6" t="s">
        <v>94</v>
      </c>
      <c r="C32" s="7">
        <v>1.0</v>
      </c>
      <c r="D32" s="67">
        <v>7.0</v>
      </c>
      <c r="E32" s="57">
        <v>4.0</v>
      </c>
      <c r="F32" s="57">
        <v>4.0</v>
      </c>
      <c r="G32" s="58"/>
      <c r="H32" s="57">
        <v>2.5</v>
      </c>
      <c r="I32" s="57">
        <v>3.0</v>
      </c>
      <c r="J32" s="59">
        <v>6.0</v>
      </c>
      <c r="K32" s="61">
        <v>1.0</v>
      </c>
      <c r="L32" s="61">
        <v>7.0</v>
      </c>
      <c r="M32" s="61">
        <v>5.5</v>
      </c>
      <c r="N32" s="56">
        <f t="shared" ref="N32:N42" si="4">(SUM(D32:M32)-MIN(D32:M32))/(COUNT(D32:M32)-1)</f>
        <v>4.875</v>
      </c>
    </row>
    <row r="33">
      <c r="A33" s="6" t="s">
        <v>96</v>
      </c>
      <c r="B33" s="6" t="s">
        <v>97</v>
      </c>
      <c r="C33" s="7">
        <v>1.0</v>
      </c>
      <c r="D33" s="37">
        <v>4.6</v>
      </c>
      <c r="E33" s="57">
        <v>7.0</v>
      </c>
      <c r="F33" s="57">
        <v>7.0</v>
      </c>
      <c r="G33" s="58"/>
      <c r="H33" s="57">
        <v>7.0</v>
      </c>
      <c r="I33" s="57">
        <v>7.0</v>
      </c>
      <c r="J33" s="59">
        <v>7.0</v>
      </c>
      <c r="K33" s="61">
        <v>7.0</v>
      </c>
      <c r="L33" s="61">
        <v>6.0</v>
      </c>
      <c r="M33" s="61">
        <v>6.5</v>
      </c>
      <c r="N33" s="56">
        <f t="shared" si="4"/>
        <v>6.8125</v>
      </c>
    </row>
    <row r="34">
      <c r="A34" s="6" t="s">
        <v>99</v>
      </c>
      <c r="B34" s="6" t="s">
        <v>100</v>
      </c>
      <c r="C34" s="7">
        <v>1.0</v>
      </c>
      <c r="D34" s="37">
        <v>3.4</v>
      </c>
      <c r="E34" s="57">
        <v>4.0</v>
      </c>
      <c r="F34" s="57">
        <v>2.0</v>
      </c>
      <c r="G34" s="58"/>
      <c r="H34" s="57">
        <v>3.5</v>
      </c>
      <c r="I34" s="57">
        <v>1.0</v>
      </c>
      <c r="J34" s="59">
        <v>3.0</v>
      </c>
      <c r="K34" s="61">
        <v>6.0</v>
      </c>
      <c r="L34" s="61">
        <v>1.0</v>
      </c>
      <c r="M34" s="61">
        <v>3.5</v>
      </c>
      <c r="N34" s="56">
        <f t="shared" si="4"/>
        <v>3.3</v>
      </c>
    </row>
    <row r="35">
      <c r="A35" s="6" t="s">
        <v>102</v>
      </c>
      <c r="B35" s="6" t="s">
        <v>103</v>
      </c>
      <c r="C35" s="7">
        <v>1.0</v>
      </c>
      <c r="D35" s="37">
        <v>1.6</v>
      </c>
      <c r="E35" s="57">
        <v>2.0</v>
      </c>
      <c r="F35" s="57">
        <v>2.0</v>
      </c>
      <c r="G35" s="58"/>
      <c r="H35" s="57">
        <v>2.5</v>
      </c>
      <c r="I35" s="57">
        <v>7.0</v>
      </c>
      <c r="J35" s="59">
        <v>7.0</v>
      </c>
      <c r="K35" s="61">
        <v>5.5</v>
      </c>
      <c r="L35" s="61">
        <v>1.0</v>
      </c>
      <c r="M35" s="61">
        <v>1.0</v>
      </c>
      <c r="N35" s="56">
        <f t="shared" si="4"/>
        <v>3.575</v>
      </c>
    </row>
    <row r="36">
      <c r="A36" s="6" t="s">
        <v>105</v>
      </c>
      <c r="B36" s="6" t="s">
        <v>106</v>
      </c>
      <c r="C36" s="7">
        <v>1.0</v>
      </c>
      <c r="D36" s="37">
        <v>2.2</v>
      </c>
      <c r="E36" s="57">
        <v>6.0</v>
      </c>
      <c r="F36" s="57">
        <v>7.0</v>
      </c>
      <c r="G36" s="58"/>
      <c r="H36" s="57">
        <v>5.5</v>
      </c>
      <c r="I36" s="67">
        <v>7.0</v>
      </c>
      <c r="J36" s="59">
        <v>4.0</v>
      </c>
      <c r="K36" s="61">
        <v>3.5</v>
      </c>
      <c r="L36" s="61">
        <v>7.0</v>
      </c>
      <c r="M36" s="61">
        <v>7.0</v>
      </c>
      <c r="N36" s="56">
        <f t="shared" si="4"/>
        <v>5.875</v>
      </c>
    </row>
    <row r="37">
      <c r="A37" s="6" t="s">
        <v>108</v>
      </c>
      <c r="B37" s="6" t="s">
        <v>109</v>
      </c>
      <c r="C37" s="7">
        <v>1.0</v>
      </c>
      <c r="D37" s="37">
        <v>3.4</v>
      </c>
      <c r="E37" s="71">
        <v>1.0</v>
      </c>
      <c r="F37" s="57">
        <v>4.0</v>
      </c>
      <c r="G37" s="58"/>
      <c r="H37" s="57" t="s">
        <v>280</v>
      </c>
      <c r="I37" s="71">
        <v>1.0</v>
      </c>
      <c r="J37" s="69">
        <v>1.0</v>
      </c>
      <c r="K37" s="69">
        <v>1.0</v>
      </c>
      <c r="L37" s="69">
        <v>1.0</v>
      </c>
      <c r="M37" s="70">
        <v>1.0</v>
      </c>
      <c r="N37" s="56">
        <f t="shared" si="4"/>
        <v>1.771428571</v>
      </c>
    </row>
    <row r="38">
      <c r="A38" s="6" t="s">
        <v>111</v>
      </c>
      <c r="B38" s="6" t="s">
        <v>112</v>
      </c>
      <c r="C38" s="7">
        <v>1.0</v>
      </c>
      <c r="D38" s="57">
        <v>3.4</v>
      </c>
      <c r="E38" s="57">
        <v>7.0</v>
      </c>
      <c r="F38" s="57">
        <v>5.0</v>
      </c>
      <c r="G38" s="58"/>
      <c r="H38" s="57">
        <v>7.0</v>
      </c>
      <c r="I38" s="57">
        <v>3.0</v>
      </c>
      <c r="J38" s="59">
        <v>6.0</v>
      </c>
      <c r="K38" s="69">
        <v>1.0</v>
      </c>
      <c r="L38" s="61">
        <v>4.0</v>
      </c>
      <c r="M38" s="61">
        <v>4.5</v>
      </c>
      <c r="N38" s="56">
        <f t="shared" si="4"/>
        <v>4.9875</v>
      </c>
    </row>
    <row r="39">
      <c r="A39" s="6" t="s">
        <v>114</v>
      </c>
      <c r="B39" s="6" t="s">
        <v>115</v>
      </c>
      <c r="C39" s="7">
        <v>1.0</v>
      </c>
      <c r="D39" s="63">
        <v>7.0</v>
      </c>
      <c r="E39" s="57">
        <v>2.5</v>
      </c>
      <c r="F39" s="57">
        <v>5.0</v>
      </c>
      <c r="G39" s="58"/>
      <c r="H39" s="57">
        <v>1.0</v>
      </c>
      <c r="I39" s="57">
        <v>1.0</v>
      </c>
      <c r="J39" s="59">
        <v>7.0</v>
      </c>
      <c r="K39" s="61">
        <v>7.0</v>
      </c>
      <c r="L39" s="61">
        <v>1.0</v>
      </c>
      <c r="M39" s="61">
        <v>4.5</v>
      </c>
      <c r="N39" s="56">
        <f t="shared" si="4"/>
        <v>4.375</v>
      </c>
    </row>
    <row r="40">
      <c r="A40" s="6" t="s">
        <v>117</v>
      </c>
      <c r="B40" s="6" t="s">
        <v>118</v>
      </c>
      <c r="C40" s="7">
        <v>1.0</v>
      </c>
      <c r="D40" s="57">
        <v>2.8</v>
      </c>
      <c r="E40" s="57">
        <v>3.0</v>
      </c>
      <c r="F40" s="57">
        <v>2.0</v>
      </c>
      <c r="G40" s="58"/>
      <c r="H40" s="71">
        <v>1.0</v>
      </c>
      <c r="I40" s="57">
        <v>3.0</v>
      </c>
      <c r="J40" s="59">
        <v>7.0</v>
      </c>
      <c r="K40" s="61">
        <v>5.0</v>
      </c>
      <c r="L40" s="61">
        <v>1.0</v>
      </c>
      <c r="M40" s="61">
        <v>1.0</v>
      </c>
      <c r="N40" s="56">
        <f t="shared" si="4"/>
        <v>3.1</v>
      </c>
    </row>
    <row r="41">
      <c r="A41" s="6" t="s">
        <v>120</v>
      </c>
      <c r="B41" s="6" t="s">
        <v>121</v>
      </c>
      <c r="C41" s="7">
        <v>1.0</v>
      </c>
      <c r="D41" s="63">
        <v>1.0</v>
      </c>
      <c r="E41" s="57">
        <v>3.0</v>
      </c>
      <c r="F41" s="57">
        <v>4.0</v>
      </c>
      <c r="G41" s="58"/>
      <c r="H41" s="57">
        <v>4.0</v>
      </c>
      <c r="I41" s="57">
        <v>2.0</v>
      </c>
      <c r="J41" s="59">
        <v>1.0</v>
      </c>
      <c r="K41" s="69">
        <v>1.0</v>
      </c>
      <c r="L41" s="61">
        <v>1.0</v>
      </c>
      <c r="M41" s="61">
        <v>2.0</v>
      </c>
      <c r="N41" s="56">
        <f t="shared" si="4"/>
        <v>2.25</v>
      </c>
    </row>
    <row r="42">
      <c r="A42" s="6" t="s">
        <v>123</v>
      </c>
      <c r="B42" s="6" t="s">
        <v>124</v>
      </c>
      <c r="C42" s="7">
        <v>1.0</v>
      </c>
      <c r="D42" s="67">
        <v>5.3</v>
      </c>
      <c r="E42" s="57">
        <v>7.0</v>
      </c>
      <c r="F42" s="57">
        <v>5.0</v>
      </c>
      <c r="G42" s="58"/>
      <c r="H42" s="57">
        <v>1.5</v>
      </c>
      <c r="I42" s="57">
        <v>4.0</v>
      </c>
      <c r="J42" s="59">
        <v>7.0</v>
      </c>
      <c r="K42" s="61">
        <v>1.5</v>
      </c>
      <c r="L42" s="61">
        <v>1.0</v>
      </c>
      <c r="M42" s="61">
        <v>2.0</v>
      </c>
      <c r="N42" s="56">
        <f t="shared" si="4"/>
        <v>4.1625</v>
      </c>
    </row>
    <row r="43">
      <c r="A43" s="6" t="s">
        <v>126</v>
      </c>
      <c r="B43" s="6" t="s">
        <v>127</v>
      </c>
      <c r="C43" s="7">
        <v>1.0</v>
      </c>
      <c r="D43" s="57">
        <v>1.0</v>
      </c>
      <c r="E43" s="57">
        <v>1.0</v>
      </c>
      <c r="F43" s="57">
        <v>1.0</v>
      </c>
      <c r="G43" s="58"/>
      <c r="H43" s="57">
        <v>4.0</v>
      </c>
      <c r="I43" s="57">
        <v>2.0</v>
      </c>
      <c r="J43" s="69">
        <v>1.0</v>
      </c>
      <c r="K43" s="61">
        <v>1.0</v>
      </c>
      <c r="L43" s="61">
        <v>1.0</v>
      </c>
      <c r="M43" s="61">
        <v>2.5</v>
      </c>
      <c r="N43" s="66">
        <f>(SUM(D43:M43)-MIN(D43:M43))/(COUNT(D43:M43)-1)+0.1</f>
        <v>1.7875</v>
      </c>
    </row>
    <row r="44">
      <c r="A44" s="6" t="s">
        <v>129</v>
      </c>
      <c r="B44" s="6" t="s">
        <v>130</v>
      </c>
      <c r="C44" s="7">
        <v>1.0</v>
      </c>
      <c r="D44" s="37">
        <v>6.4</v>
      </c>
      <c r="E44" s="57">
        <v>4.0</v>
      </c>
      <c r="F44" s="57">
        <v>6.0</v>
      </c>
      <c r="G44" s="58"/>
      <c r="H44" s="57">
        <v>6.0</v>
      </c>
      <c r="I44" s="57">
        <v>4.0</v>
      </c>
      <c r="J44" s="59">
        <v>3.0</v>
      </c>
      <c r="K44" s="61">
        <v>1.0</v>
      </c>
      <c r="L44" s="61">
        <v>1.0</v>
      </c>
      <c r="M44" s="61">
        <v>3.5</v>
      </c>
      <c r="N44" s="56">
        <f t="shared" ref="N44:N45" si="5">(SUM(D44:M44)-MIN(D44:M44))/(COUNT(D44:M44)-1)</f>
        <v>4.2375</v>
      </c>
    </row>
    <row r="45">
      <c r="A45" s="6" t="s">
        <v>132</v>
      </c>
      <c r="B45" s="6" t="s">
        <v>133</v>
      </c>
      <c r="C45" s="7">
        <v>1.0</v>
      </c>
      <c r="D45" s="37">
        <v>5.8</v>
      </c>
      <c r="E45" s="57">
        <v>5.5</v>
      </c>
      <c r="F45" s="57">
        <v>4.0</v>
      </c>
      <c r="G45" s="58"/>
      <c r="H45" s="57">
        <v>7.0</v>
      </c>
      <c r="I45" s="57">
        <v>5.0</v>
      </c>
      <c r="J45" s="59">
        <v>7.0</v>
      </c>
      <c r="K45" s="61">
        <v>7.0</v>
      </c>
      <c r="L45" s="60">
        <v>1.0</v>
      </c>
      <c r="M45" s="61">
        <v>1.0</v>
      </c>
      <c r="N45" s="56">
        <f t="shared" si="5"/>
        <v>5.2875</v>
      </c>
    </row>
    <row r="46">
      <c r="A46" s="6"/>
      <c r="B46" s="48" t="s">
        <v>303</v>
      </c>
      <c r="C46" s="7"/>
      <c r="D46" s="53">
        <v>45882.0</v>
      </c>
      <c r="E46" s="53">
        <v>45896.0</v>
      </c>
      <c r="F46" s="53">
        <v>45903.0</v>
      </c>
      <c r="G46" s="58"/>
      <c r="H46" s="53">
        <v>45916.0</v>
      </c>
      <c r="I46" s="53">
        <v>45938.0</v>
      </c>
      <c r="J46" s="53">
        <v>45945.0</v>
      </c>
      <c r="K46" s="53">
        <v>45952.0</v>
      </c>
      <c r="L46" s="55">
        <v>45959.0</v>
      </c>
      <c r="M46" s="53">
        <v>45966.0</v>
      </c>
      <c r="N46" s="56"/>
    </row>
    <row r="47">
      <c r="A47" s="6" t="s">
        <v>135</v>
      </c>
      <c r="B47" s="6" t="s">
        <v>136</v>
      </c>
      <c r="C47" s="7">
        <v>2.0</v>
      </c>
      <c r="D47" s="42">
        <v>6.0</v>
      </c>
      <c r="E47" s="57">
        <v>7.0</v>
      </c>
      <c r="F47" s="57">
        <v>4.0</v>
      </c>
      <c r="G47" s="58"/>
      <c r="H47" s="57">
        <v>5.5</v>
      </c>
      <c r="I47" s="57">
        <v>7.0</v>
      </c>
      <c r="J47" s="59">
        <v>4.0</v>
      </c>
      <c r="K47" s="61">
        <v>6.3</v>
      </c>
      <c r="L47" s="61">
        <v>7.0</v>
      </c>
      <c r="M47" s="61">
        <v>4.0</v>
      </c>
      <c r="N47" s="66">
        <f>(SUM(D47:M47)-MIN(D47:M47))/(COUNT(D47:M47)-1)+0.3</f>
        <v>6.15</v>
      </c>
    </row>
    <row r="48">
      <c r="A48" s="6" t="s">
        <v>138</v>
      </c>
      <c r="B48" s="6" t="s">
        <v>139</v>
      </c>
      <c r="C48" s="7">
        <v>2.0</v>
      </c>
      <c r="D48" s="42" t="s">
        <v>280</v>
      </c>
      <c r="E48" s="57">
        <v>7.0</v>
      </c>
      <c r="F48" s="57">
        <v>1.0</v>
      </c>
      <c r="G48" s="58"/>
      <c r="H48" s="57">
        <v>1.0</v>
      </c>
      <c r="I48" s="57">
        <v>5.5</v>
      </c>
      <c r="J48" s="71">
        <v>1.0</v>
      </c>
      <c r="K48" s="61">
        <v>6.6</v>
      </c>
      <c r="L48" s="59">
        <v>1.0</v>
      </c>
      <c r="M48" s="61">
        <v>4.5</v>
      </c>
      <c r="N48" s="56">
        <f t="shared" ref="N48:N50" si="6">(SUM(D48:M48)-MIN(D48:M48))/(COUNT(D48:M48)-1)</f>
        <v>3.8</v>
      </c>
    </row>
    <row r="49">
      <c r="A49" s="6" t="s">
        <v>141</v>
      </c>
      <c r="B49" s="6" t="s">
        <v>142</v>
      </c>
      <c r="C49" s="7">
        <v>2.0</v>
      </c>
      <c r="D49" s="42">
        <v>6.5</v>
      </c>
      <c r="E49" s="57">
        <v>6.5</v>
      </c>
      <c r="F49" s="57">
        <v>2.5</v>
      </c>
      <c r="G49" s="58"/>
      <c r="H49" s="57">
        <v>3.5</v>
      </c>
      <c r="I49" s="57">
        <v>7.0</v>
      </c>
      <c r="J49" s="72">
        <v>3.5</v>
      </c>
      <c r="K49" s="61">
        <v>5.5</v>
      </c>
      <c r="L49" s="57">
        <v>5.0</v>
      </c>
      <c r="M49" s="61">
        <v>5.0</v>
      </c>
      <c r="N49" s="56">
        <f t="shared" si="6"/>
        <v>5.3125</v>
      </c>
    </row>
    <row r="50">
      <c r="A50" s="6" t="s">
        <v>144</v>
      </c>
      <c r="B50" s="6" t="s">
        <v>145</v>
      </c>
      <c r="C50" s="7">
        <v>2.0</v>
      </c>
      <c r="D50" s="73">
        <v>2.0</v>
      </c>
      <c r="E50" s="57">
        <v>4.0</v>
      </c>
      <c r="F50" s="67">
        <v>1.0</v>
      </c>
      <c r="G50" s="58"/>
      <c r="H50" s="57">
        <v>1.0</v>
      </c>
      <c r="I50" s="57">
        <v>7.0</v>
      </c>
      <c r="J50" s="59">
        <v>2.5</v>
      </c>
      <c r="K50" s="61">
        <v>3.6</v>
      </c>
      <c r="L50" s="61">
        <v>3.0</v>
      </c>
      <c r="M50" s="61">
        <v>4.0</v>
      </c>
      <c r="N50" s="56">
        <f t="shared" si="6"/>
        <v>3.3875</v>
      </c>
    </row>
    <row r="51">
      <c r="A51" s="6" t="s">
        <v>147</v>
      </c>
      <c r="B51" s="6" t="s">
        <v>148</v>
      </c>
      <c r="C51" s="7">
        <v>2.0</v>
      </c>
      <c r="D51" s="74">
        <v>2.5</v>
      </c>
      <c r="E51" s="57">
        <v>1.5</v>
      </c>
      <c r="F51" s="57">
        <v>1.0</v>
      </c>
      <c r="G51" s="58"/>
      <c r="H51" s="57">
        <v>4.5</v>
      </c>
      <c r="I51" s="57">
        <v>4.0</v>
      </c>
      <c r="J51" s="59">
        <v>1.0</v>
      </c>
      <c r="K51" s="61">
        <v>4.0</v>
      </c>
      <c r="L51" s="61">
        <v>5.0</v>
      </c>
      <c r="M51" s="61">
        <v>1.5</v>
      </c>
      <c r="N51" s="66">
        <f>(SUM(D51:M51)-MIN(D51:M51))/(COUNT(D51:M51)-1)+0.1</f>
        <v>3.1</v>
      </c>
    </row>
    <row r="52">
      <c r="A52" s="6" t="s">
        <v>150</v>
      </c>
      <c r="B52" s="6" t="s">
        <v>151</v>
      </c>
      <c r="C52" s="7">
        <v>2.0</v>
      </c>
      <c r="D52" s="42">
        <v>2.5</v>
      </c>
      <c r="E52" s="57">
        <v>6.5</v>
      </c>
      <c r="F52" s="57">
        <v>2.0</v>
      </c>
      <c r="G52" s="58"/>
      <c r="H52" s="71">
        <v>1.0</v>
      </c>
      <c r="I52" s="57">
        <v>2.5</v>
      </c>
      <c r="J52" s="59">
        <v>4.0</v>
      </c>
      <c r="K52" s="71">
        <v>1.0</v>
      </c>
      <c r="L52" s="59">
        <v>1.0</v>
      </c>
      <c r="M52" s="71">
        <v>1.0</v>
      </c>
      <c r="N52" s="56">
        <f>(SUM(D52:M52)-MIN(D52:M52))/(COUNT(D52:M52)-1)</f>
        <v>2.5625</v>
      </c>
    </row>
    <row r="53">
      <c r="A53" s="6" t="s">
        <v>153</v>
      </c>
      <c r="B53" s="6" t="s">
        <v>154</v>
      </c>
      <c r="C53" s="7">
        <v>2.0</v>
      </c>
      <c r="D53" s="42">
        <v>5.0</v>
      </c>
      <c r="E53" s="57">
        <v>5.0</v>
      </c>
      <c r="F53" s="57">
        <v>7.0</v>
      </c>
      <c r="G53" s="58"/>
      <c r="H53" s="57">
        <v>5.0</v>
      </c>
      <c r="I53" s="57">
        <v>7.0</v>
      </c>
      <c r="J53" s="59">
        <v>7.0</v>
      </c>
      <c r="K53" s="61">
        <v>6.6</v>
      </c>
      <c r="L53" s="61">
        <v>7.0</v>
      </c>
      <c r="M53" s="61">
        <v>2.0</v>
      </c>
      <c r="N53" s="66">
        <f>(SUM(D53:M53)-MIN(D53:M53))/(COUNT(D53:M53)-1)+0.3</f>
        <v>6.5</v>
      </c>
    </row>
    <row r="54">
      <c r="A54" s="6" t="s">
        <v>156</v>
      </c>
      <c r="B54" s="6" t="s">
        <v>157</v>
      </c>
      <c r="C54" s="7">
        <v>2.0</v>
      </c>
      <c r="D54" s="42">
        <v>3.0</v>
      </c>
      <c r="E54" s="57">
        <v>7.0</v>
      </c>
      <c r="F54" s="57">
        <v>3.0</v>
      </c>
      <c r="G54" s="58"/>
      <c r="H54" s="57">
        <v>5.0</v>
      </c>
      <c r="I54" s="57">
        <v>7.0</v>
      </c>
      <c r="J54" s="59">
        <v>7.0</v>
      </c>
      <c r="K54" s="61">
        <v>7.0</v>
      </c>
      <c r="L54" s="61">
        <v>7.0</v>
      </c>
      <c r="M54" s="61">
        <v>6.5</v>
      </c>
      <c r="N54" s="56">
        <f>(SUM(D54:M54)-MIN(D54:M54))/(COUNT(D54:M54)-1)</f>
        <v>6.1875</v>
      </c>
    </row>
    <row r="55">
      <c r="A55" s="6" t="s">
        <v>159</v>
      </c>
      <c r="B55" s="6" t="s">
        <v>160</v>
      </c>
      <c r="C55" s="7">
        <v>2.0</v>
      </c>
      <c r="D55" s="73">
        <v>3.5</v>
      </c>
      <c r="E55" s="63">
        <v>7.0</v>
      </c>
      <c r="F55" s="57">
        <v>1.0</v>
      </c>
      <c r="G55" s="58"/>
      <c r="H55" s="57">
        <v>7.0</v>
      </c>
      <c r="I55" s="57">
        <v>7.0</v>
      </c>
      <c r="J55" s="59">
        <v>4.0</v>
      </c>
      <c r="K55" s="61">
        <v>7.0</v>
      </c>
      <c r="L55" s="61">
        <v>2.0</v>
      </c>
      <c r="M55" s="61">
        <v>6.5</v>
      </c>
      <c r="N55" s="66">
        <f>(SUM(D55:M55)-MIN(D55:M55))/(COUNT(D55:M55)-1)+0.1</f>
        <v>5.6</v>
      </c>
    </row>
    <row r="56">
      <c r="A56" s="6" t="s">
        <v>162</v>
      </c>
      <c r="B56" s="6" t="s">
        <v>163</v>
      </c>
      <c r="C56" s="7">
        <v>2.0</v>
      </c>
      <c r="D56" s="42">
        <v>3.0</v>
      </c>
      <c r="E56" s="57">
        <v>7.0</v>
      </c>
      <c r="F56" s="57">
        <v>7.0</v>
      </c>
      <c r="G56" s="58"/>
      <c r="H56" s="57">
        <v>5.5</v>
      </c>
      <c r="I56" s="57">
        <v>7.0</v>
      </c>
      <c r="J56" s="59">
        <v>4.0</v>
      </c>
      <c r="K56" s="61">
        <v>6.6</v>
      </c>
      <c r="L56" s="61">
        <v>6.0</v>
      </c>
      <c r="M56" s="60">
        <v>3.5</v>
      </c>
      <c r="N56" s="66">
        <f>(SUM(D56:M56)-MIN(D56:M56))/(COUNT(D56:M56)-1)+0.4</f>
        <v>6.225</v>
      </c>
    </row>
    <row r="57">
      <c r="A57" s="6" t="s">
        <v>165</v>
      </c>
      <c r="B57" s="6" t="s">
        <v>166</v>
      </c>
      <c r="C57" s="7">
        <v>2.0</v>
      </c>
      <c r="D57" s="42">
        <v>6.0</v>
      </c>
      <c r="E57" s="57">
        <v>6.5</v>
      </c>
      <c r="F57" s="57">
        <v>1.0</v>
      </c>
      <c r="G57" s="58"/>
      <c r="H57" s="57">
        <v>6.0</v>
      </c>
      <c r="I57" s="57">
        <v>7.0</v>
      </c>
      <c r="J57" s="59">
        <v>1.8</v>
      </c>
      <c r="K57" s="61">
        <v>7.0</v>
      </c>
      <c r="L57" s="61">
        <v>6.5</v>
      </c>
      <c r="M57" s="61">
        <v>4.0</v>
      </c>
      <c r="N57" s="56">
        <f t="shared" ref="N57:N65" si="7">(SUM(D57:M57)-MIN(D57:M57))/(COUNT(D57:M57)-1)</f>
        <v>5.6</v>
      </c>
    </row>
    <row r="58">
      <c r="A58" s="6" t="s">
        <v>168</v>
      </c>
      <c r="B58" s="6" t="s">
        <v>169</v>
      </c>
      <c r="C58" s="7">
        <v>2.0</v>
      </c>
      <c r="D58" s="74">
        <v>2.0</v>
      </c>
      <c r="E58" s="57">
        <v>3.5</v>
      </c>
      <c r="F58" s="57">
        <v>1.0</v>
      </c>
      <c r="G58" s="58"/>
      <c r="H58" s="57">
        <v>1.5</v>
      </c>
      <c r="I58" s="57">
        <v>7.0</v>
      </c>
      <c r="J58" s="59">
        <v>1.0</v>
      </c>
      <c r="K58" s="61">
        <v>1.8</v>
      </c>
      <c r="L58" s="61">
        <v>4.0</v>
      </c>
      <c r="M58" s="61">
        <v>1.0</v>
      </c>
      <c r="N58" s="56">
        <f t="shared" si="7"/>
        <v>2.725</v>
      </c>
    </row>
    <row r="59">
      <c r="A59" s="6" t="s">
        <v>171</v>
      </c>
      <c r="B59" s="6" t="s">
        <v>172</v>
      </c>
      <c r="C59" s="7">
        <v>2.0</v>
      </c>
      <c r="D59" s="74">
        <v>5.5</v>
      </c>
      <c r="E59" s="57">
        <v>4.0</v>
      </c>
      <c r="F59" s="57">
        <v>7.0</v>
      </c>
      <c r="G59" s="58"/>
      <c r="H59" s="57">
        <v>4.5</v>
      </c>
      <c r="I59" s="57">
        <v>7.0</v>
      </c>
      <c r="J59" s="59">
        <v>2.5</v>
      </c>
      <c r="K59" s="61">
        <v>7.0</v>
      </c>
      <c r="L59" s="61">
        <v>5.0</v>
      </c>
      <c r="M59" s="61">
        <v>2.0</v>
      </c>
      <c r="N59" s="56">
        <f t="shared" si="7"/>
        <v>5.3125</v>
      </c>
    </row>
    <row r="60">
      <c r="A60" s="6" t="s">
        <v>174</v>
      </c>
      <c r="B60" s="6" t="s">
        <v>175</v>
      </c>
      <c r="C60" s="7">
        <v>2.0</v>
      </c>
      <c r="D60" s="42">
        <v>3.5</v>
      </c>
      <c r="E60" s="57">
        <v>6.5</v>
      </c>
      <c r="F60" s="57">
        <v>7.0</v>
      </c>
      <c r="G60" s="58"/>
      <c r="H60" s="57">
        <v>2.5</v>
      </c>
      <c r="I60" s="57">
        <v>7.0</v>
      </c>
      <c r="J60" s="59">
        <v>3.3</v>
      </c>
      <c r="K60" s="61">
        <v>7.0</v>
      </c>
      <c r="L60" s="61">
        <v>3.0</v>
      </c>
      <c r="M60" s="61">
        <v>2.0</v>
      </c>
      <c r="N60" s="56">
        <f t="shared" si="7"/>
        <v>4.975</v>
      </c>
    </row>
    <row r="61">
      <c r="A61" s="6" t="s">
        <v>177</v>
      </c>
      <c r="B61" s="6" t="s">
        <v>178</v>
      </c>
      <c r="C61" s="7">
        <v>2.0</v>
      </c>
      <c r="D61" s="42">
        <v>1.0</v>
      </c>
      <c r="E61" s="57">
        <v>6.0</v>
      </c>
      <c r="F61" s="57">
        <v>7.0</v>
      </c>
      <c r="G61" s="58"/>
      <c r="H61" s="57">
        <v>2.5</v>
      </c>
      <c r="I61" s="57">
        <v>5.5</v>
      </c>
      <c r="J61" s="59">
        <v>4.0</v>
      </c>
      <c r="K61" s="61">
        <v>6.6</v>
      </c>
      <c r="L61" s="61">
        <v>7.0</v>
      </c>
      <c r="M61" s="71">
        <v>1.0</v>
      </c>
      <c r="N61" s="56">
        <f t="shared" si="7"/>
        <v>4.95</v>
      </c>
    </row>
    <row r="62">
      <c r="A62" s="6" t="s">
        <v>180</v>
      </c>
      <c r="B62" s="6" t="s">
        <v>181</v>
      </c>
      <c r="C62" s="7">
        <v>2.0</v>
      </c>
      <c r="D62" s="74">
        <v>1.0</v>
      </c>
      <c r="E62" s="57">
        <v>1.0</v>
      </c>
      <c r="F62" s="57">
        <v>3.5</v>
      </c>
      <c r="G62" s="58"/>
      <c r="H62" s="57">
        <v>1.0</v>
      </c>
      <c r="I62" s="57">
        <v>7.0</v>
      </c>
      <c r="J62" s="63" t="s">
        <v>280</v>
      </c>
      <c r="K62" s="63" t="s">
        <v>280</v>
      </c>
      <c r="L62" s="61">
        <v>2.0</v>
      </c>
      <c r="M62" s="61">
        <v>1.0</v>
      </c>
      <c r="N62" s="56">
        <f t="shared" si="7"/>
        <v>2.583333333</v>
      </c>
    </row>
    <row r="63">
      <c r="A63" s="6" t="s">
        <v>183</v>
      </c>
      <c r="B63" s="6" t="s">
        <v>184</v>
      </c>
      <c r="C63" s="7">
        <v>2.0</v>
      </c>
      <c r="D63" s="42">
        <v>4.5</v>
      </c>
      <c r="E63" s="57">
        <v>7.0</v>
      </c>
      <c r="F63" s="63" t="s">
        <v>280</v>
      </c>
      <c r="G63" s="58"/>
      <c r="H63" s="71">
        <v>1.0</v>
      </c>
      <c r="I63" s="57">
        <v>5.5</v>
      </c>
      <c r="J63" s="72">
        <v>6.0</v>
      </c>
      <c r="K63" s="61">
        <v>7.0</v>
      </c>
      <c r="L63" s="61">
        <v>5.0</v>
      </c>
      <c r="M63" s="61">
        <v>4.0</v>
      </c>
      <c r="N63" s="56">
        <f t="shared" si="7"/>
        <v>5.571428571</v>
      </c>
    </row>
    <row r="64">
      <c r="A64" s="6" t="s">
        <v>186</v>
      </c>
      <c r="B64" s="6" t="s">
        <v>187</v>
      </c>
      <c r="C64" s="7">
        <v>2.0</v>
      </c>
      <c r="D64" s="42">
        <v>2.5</v>
      </c>
      <c r="E64" s="57">
        <v>6.5</v>
      </c>
      <c r="F64" s="71">
        <v>1.0</v>
      </c>
      <c r="G64" s="58"/>
      <c r="H64" s="57">
        <v>2.5</v>
      </c>
      <c r="I64" s="57">
        <v>7.0</v>
      </c>
      <c r="J64" s="59">
        <v>4.8</v>
      </c>
      <c r="K64" s="61">
        <v>5.9</v>
      </c>
      <c r="L64" s="72">
        <v>2.5</v>
      </c>
      <c r="M64" s="61">
        <v>4.0</v>
      </c>
      <c r="N64" s="56">
        <f t="shared" si="7"/>
        <v>4.4625</v>
      </c>
    </row>
    <row r="65">
      <c r="A65" s="6" t="s">
        <v>189</v>
      </c>
      <c r="B65" s="6" t="s">
        <v>190</v>
      </c>
      <c r="C65" s="7">
        <v>2.0</v>
      </c>
      <c r="D65" s="42">
        <v>6.5</v>
      </c>
      <c r="E65" s="57">
        <v>6.5</v>
      </c>
      <c r="F65" s="71">
        <v>1.0</v>
      </c>
      <c r="G65" s="58"/>
      <c r="H65" s="63" t="s">
        <v>280</v>
      </c>
      <c r="I65" s="57">
        <v>7.0</v>
      </c>
      <c r="J65" s="59">
        <v>1.0</v>
      </c>
      <c r="K65" s="61">
        <v>7.0</v>
      </c>
      <c r="L65" s="61">
        <v>3.0</v>
      </c>
      <c r="M65" s="71">
        <v>1.0</v>
      </c>
      <c r="N65" s="56">
        <f t="shared" si="7"/>
        <v>4.571428571</v>
      </c>
    </row>
    <row r="66">
      <c r="A66" s="6" t="s">
        <v>192</v>
      </c>
      <c r="B66" s="6" t="s">
        <v>193</v>
      </c>
      <c r="C66" s="7">
        <v>2.0</v>
      </c>
      <c r="D66" s="42">
        <v>2.0</v>
      </c>
      <c r="E66" s="57">
        <v>4.5</v>
      </c>
      <c r="F66" s="57">
        <v>1.0</v>
      </c>
      <c r="G66" s="58"/>
      <c r="H66" s="57">
        <v>4.5</v>
      </c>
      <c r="I66" s="57">
        <v>7.0</v>
      </c>
      <c r="J66" s="59">
        <v>5.5</v>
      </c>
      <c r="K66" s="61">
        <v>1.0</v>
      </c>
      <c r="L66" s="61">
        <v>4.0</v>
      </c>
      <c r="M66" s="61">
        <v>2.0</v>
      </c>
      <c r="N66" s="66">
        <f>(SUM(D66:M66)-MIN(D66:M66))/(COUNT(D66:M66)-1)+0.1</f>
        <v>3.9125</v>
      </c>
    </row>
    <row r="67">
      <c r="A67" s="6" t="s">
        <v>195</v>
      </c>
      <c r="B67" s="6" t="s">
        <v>196</v>
      </c>
      <c r="C67" s="7">
        <v>2.0</v>
      </c>
      <c r="D67" s="42">
        <v>7.0</v>
      </c>
      <c r="E67" s="57">
        <v>7.0</v>
      </c>
      <c r="F67" s="57">
        <v>7.0</v>
      </c>
      <c r="G67" s="58"/>
      <c r="H67" s="57">
        <v>3.0</v>
      </c>
      <c r="I67" s="57">
        <v>7.0</v>
      </c>
      <c r="J67" s="59">
        <v>7.0</v>
      </c>
      <c r="K67" s="61">
        <v>7.0</v>
      </c>
      <c r="L67" s="61">
        <v>7.0</v>
      </c>
      <c r="M67" s="61">
        <v>7.0</v>
      </c>
      <c r="N67" s="56">
        <f t="shared" ref="N67:N72" si="8">(SUM(D67:M67)-MIN(D67:M67))/(COUNT(D67:M67)-1)</f>
        <v>7</v>
      </c>
    </row>
    <row r="68">
      <c r="A68" s="6" t="s">
        <v>198</v>
      </c>
      <c r="B68" s="6" t="s">
        <v>199</v>
      </c>
      <c r="C68" s="7">
        <v>2.0</v>
      </c>
      <c r="D68" s="74">
        <v>1.0</v>
      </c>
      <c r="E68" s="63">
        <v>7.0</v>
      </c>
      <c r="F68" s="57">
        <v>3.0</v>
      </c>
      <c r="G68" s="58"/>
      <c r="H68" s="57">
        <v>1.5</v>
      </c>
      <c r="I68" s="42">
        <v>2.5</v>
      </c>
      <c r="J68" s="59">
        <v>1.0</v>
      </c>
      <c r="K68" s="61">
        <v>5.1</v>
      </c>
      <c r="L68" s="61">
        <v>3.0</v>
      </c>
      <c r="M68" s="61">
        <v>1.5</v>
      </c>
      <c r="N68" s="56">
        <f t="shared" si="8"/>
        <v>3.075</v>
      </c>
    </row>
    <row r="69">
      <c r="A69" s="6" t="s">
        <v>201</v>
      </c>
      <c r="B69" s="6" t="s">
        <v>202</v>
      </c>
      <c r="C69" s="7">
        <v>2.0</v>
      </c>
      <c r="D69" s="42">
        <v>1.0</v>
      </c>
      <c r="E69" s="37">
        <v>5.5</v>
      </c>
      <c r="F69" s="57">
        <v>1.0</v>
      </c>
      <c r="G69" s="75"/>
      <c r="H69" s="57">
        <v>1.5</v>
      </c>
      <c r="I69" s="42">
        <v>7.0</v>
      </c>
      <c r="J69" s="59">
        <v>4.0</v>
      </c>
      <c r="K69" s="61">
        <v>1.0</v>
      </c>
      <c r="L69" s="61">
        <v>1.0</v>
      </c>
      <c r="M69" s="71">
        <v>1.0</v>
      </c>
      <c r="N69" s="56">
        <f t="shared" si="8"/>
        <v>2.75</v>
      </c>
    </row>
    <row r="70">
      <c r="A70" s="6" t="s">
        <v>204</v>
      </c>
      <c r="B70" s="6" t="s">
        <v>205</v>
      </c>
      <c r="C70" s="7">
        <v>2.0</v>
      </c>
      <c r="D70" s="74">
        <v>4.0</v>
      </c>
      <c r="E70" s="37">
        <v>6.5</v>
      </c>
      <c r="F70" s="57">
        <v>4.0</v>
      </c>
      <c r="G70" s="75"/>
      <c r="H70" s="57">
        <v>3.5</v>
      </c>
      <c r="I70" s="42">
        <v>7.0</v>
      </c>
      <c r="J70" s="59">
        <v>5.5</v>
      </c>
      <c r="K70" s="61">
        <v>4.8</v>
      </c>
      <c r="L70" s="61">
        <v>2.0</v>
      </c>
      <c r="M70" s="59">
        <v>4.0</v>
      </c>
      <c r="N70" s="56">
        <f t="shared" si="8"/>
        <v>4.9125</v>
      </c>
    </row>
    <row r="71">
      <c r="A71" s="6" t="s">
        <v>207</v>
      </c>
      <c r="B71" s="6" t="s">
        <v>208</v>
      </c>
      <c r="C71" s="7">
        <v>2.0</v>
      </c>
      <c r="D71" s="42">
        <v>1.5</v>
      </c>
      <c r="E71" s="37">
        <v>2.5</v>
      </c>
      <c r="F71" s="57">
        <v>1.0</v>
      </c>
      <c r="G71" s="75"/>
      <c r="H71" s="57">
        <v>5.0</v>
      </c>
      <c r="I71" s="42">
        <v>7.0</v>
      </c>
      <c r="J71" s="59">
        <v>2.5</v>
      </c>
      <c r="K71" s="61">
        <v>5.9</v>
      </c>
      <c r="L71" s="61">
        <v>2.0</v>
      </c>
      <c r="M71" s="59">
        <v>2.0</v>
      </c>
      <c r="N71" s="56">
        <f t="shared" si="8"/>
        <v>3.55</v>
      </c>
    </row>
    <row r="72">
      <c r="A72" s="6" t="s">
        <v>210</v>
      </c>
      <c r="B72" s="6" t="s">
        <v>211</v>
      </c>
      <c r="C72" s="7">
        <v>2.0</v>
      </c>
      <c r="D72" s="74">
        <v>3.0</v>
      </c>
      <c r="E72" s="37">
        <v>2.5</v>
      </c>
      <c r="F72" s="57">
        <v>2.0</v>
      </c>
      <c r="G72" s="75"/>
      <c r="H72" s="57">
        <v>1.0</v>
      </c>
      <c r="I72" s="42">
        <v>7.0</v>
      </c>
      <c r="J72" s="59">
        <v>4.8</v>
      </c>
      <c r="K72" s="71">
        <v>1.0</v>
      </c>
      <c r="L72" s="59">
        <v>1.0</v>
      </c>
      <c r="M72" s="59">
        <v>1.0</v>
      </c>
      <c r="N72" s="56">
        <f t="shared" si="8"/>
        <v>2.7875</v>
      </c>
    </row>
    <row r="73">
      <c r="A73" s="6" t="s">
        <v>213</v>
      </c>
      <c r="B73" s="6" t="s">
        <v>214</v>
      </c>
      <c r="C73" s="7">
        <v>2.0</v>
      </c>
      <c r="D73" s="42">
        <v>5.0</v>
      </c>
      <c r="E73" s="42">
        <v>7.0</v>
      </c>
      <c r="F73" s="57">
        <v>2.0</v>
      </c>
      <c r="G73" s="75"/>
      <c r="H73" s="57">
        <v>5.5</v>
      </c>
      <c r="I73" s="42">
        <v>7.0</v>
      </c>
      <c r="J73" s="59">
        <v>5.5</v>
      </c>
      <c r="K73" s="67">
        <v>4.0</v>
      </c>
      <c r="L73" s="61">
        <v>7.0</v>
      </c>
      <c r="M73" s="59">
        <v>4.0</v>
      </c>
      <c r="N73" s="66">
        <f>(SUM(D73:M73)-MIN(D73:M73))/(COUNT(D73:M73)-1)+0.2</f>
        <v>5.825</v>
      </c>
    </row>
    <row r="74">
      <c r="A74" s="6" t="s">
        <v>216</v>
      </c>
      <c r="B74" s="6" t="s">
        <v>217</v>
      </c>
      <c r="C74" s="7">
        <v>2.0</v>
      </c>
      <c r="D74" s="42">
        <v>4.5</v>
      </c>
      <c r="E74" s="42">
        <v>4.0</v>
      </c>
      <c r="F74" s="57">
        <v>4.0</v>
      </c>
      <c r="G74" s="75"/>
      <c r="H74" s="57">
        <v>2.0</v>
      </c>
      <c r="I74" s="42">
        <v>7.0</v>
      </c>
      <c r="J74" s="72">
        <v>1.0</v>
      </c>
      <c r="K74" s="61">
        <v>4.0</v>
      </c>
      <c r="L74" s="61">
        <v>2.0</v>
      </c>
      <c r="M74" s="59">
        <v>2.0</v>
      </c>
      <c r="N74" s="56">
        <f t="shared" ref="N74:N80" si="9">(SUM(D74:M74)-MIN(D74:M74))/(COUNT(D74:M74)-1)</f>
        <v>3.6875</v>
      </c>
    </row>
    <row r="75">
      <c r="A75" s="6" t="s">
        <v>219</v>
      </c>
      <c r="B75" s="6" t="s">
        <v>220</v>
      </c>
      <c r="C75" s="7">
        <v>2.0</v>
      </c>
      <c r="D75" s="42">
        <v>1.0</v>
      </c>
      <c r="E75" s="42">
        <v>7.0</v>
      </c>
      <c r="F75" s="57">
        <v>4.0</v>
      </c>
      <c r="G75" s="75"/>
      <c r="H75" s="57">
        <v>6.5</v>
      </c>
      <c r="I75" s="42" t="s">
        <v>280</v>
      </c>
      <c r="J75" s="59">
        <v>1.0</v>
      </c>
      <c r="K75" s="57" t="s">
        <v>280</v>
      </c>
      <c r="L75" s="61">
        <v>1.0</v>
      </c>
      <c r="M75" s="59">
        <v>2.0</v>
      </c>
      <c r="N75" s="56">
        <f t="shared" si="9"/>
        <v>3.583333333</v>
      </c>
    </row>
    <row r="76">
      <c r="A76" s="6" t="s">
        <v>222</v>
      </c>
      <c r="B76" s="6" t="s">
        <v>223</v>
      </c>
      <c r="C76" s="7">
        <v>2.0</v>
      </c>
      <c r="D76" s="74">
        <v>4.5</v>
      </c>
      <c r="E76" s="37">
        <v>6.5</v>
      </c>
      <c r="F76" s="57">
        <v>2.5</v>
      </c>
      <c r="G76" s="75"/>
      <c r="H76" s="57">
        <v>2.5</v>
      </c>
      <c r="I76" s="42">
        <v>1.0</v>
      </c>
      <c r="J76" s="59">
        <v>3.3</v>
      </c>
      <c r="K76" s="61">
        <v>6.6</v>
      </c>
      <c r="L76" s="59">
        <v>1.0</v>
      </c>
      <c r="M76" s="59">
        <v>2.0</v>
      </c>
      <c r="N76" s="56">
        <f t="shared" si="9"/>
        <v>3.6125</v>
      </c>
    </row>
    <row r="77">
      <c r="A77" s="6" t="s">
        <v>225</v>
      </c>
      <c r="B77" s="6" t="s">
        <v>226</v>
      </c>
      <c r="C77" s="7">
        <v>2.0</v>
      </c>
      <c r="D77" s="42">
        <v>5.0</v>
      </c>
      <c r="E77" s="37">
        <v>2.5</v>
      </c>
      <c r="F77" s="67">
        <v>2.0</v>
      </c>
      <c r="G77" s="75"/>
      <c r="H77" s="57">
        <v>1.5</v>
      </c>
      <c r="I77" s="42">
        <v>2.5</v>
      </c>
      <c r="J77" s="59">
        <v>5.5</v>
      </c>
      <c r="K77" s="61">
        <v>4.4</v>
      </c>
      <c r="L77" s="61">
        <v>3.0</v>
      </c>
      <c r="M77" s="59">
        <v>4.0</v>
      </c>
      <c r="N77" s="56">
        <f t="shared" si="9"/>
        <v>3.6125</v>
      </c>
    </row>
    <row r="78">
      <c r="A78" s="6" t="s">
        <v>228</v>
      </c>
      <c r="B78" s="6" t="s">
        <v>229</v>
      </c>
      <c r="C78" s="7">
        <v>2.0</v>
      </c>
      <c r="D78" s="42">
        <v>7.0</v>
      </c>
      <c r="E78" s="37">
        <v>1.5</v>
      </c>
      <c r="F78" s="57">
        <v>1.0</v>
      </c>
      <c r="G78" s="75"/>
      <c r="H78" s="57">
        <v>1.0</v>
      </c>
      <c r="I78" s="42">
        <v>4.0</v>
      </c>
      <c r="J78" s="59">
        <v>1.0</v>
      </c>
      <c r="K78" s="61">
        <v>6.3</v>
      </c>
      <c r="L78" s="61">
        <v>3.0</v>
      </c>
      <c r="M78" s="57" t="s">
        <v>280</v>
      </c>
      <c r="N78" s="56">
        <f t="shared" si="9"/>
        <v>3.4</v>
      </c>
    </row>
    <row r="79">
      <c r="A79" s="6" t="s">
        <v>231</v>
      </c>
      <c r="B79" s="6" t="s">
        <v>232</v>
      </c>
      <c r="C79" s="7">
        <v>2.0</v>
      </c>
      <c r="D79" s="42">
        <v>1.0</v>
      </c>
      <c r="E79" s="37">
        <v>6.8</v>
      </c>
      <c r="F79" s="57">
        <v>4.0</v>
      </c>
      <c r="G79" s="75"/>
      <c r="H79" s="57">
        <v>3.0</v>
      </c>
      <c r="I79" s="42">
        <v>7.0</v>
      </c>
      <c r="J79" s="71">
        <v>1.0</v>
      </c>
      <c r="K79" s="61">
        <v>7.0</v>
      </c>
      <c r="L79" s="61">
        <v>3.0</v>
      </c>
      <c r="M79" s="71">
        <v>1.0</v>
      </c>
      <c r="N79" s="56">
        <f t="shared" si="9"/>
        <v>4.1</v>
      </c>
    </row>
    <row r="80">
      <c r="A80" s="6" t="s">
        <v>234</v>
      </c>
      <c r="B80" s="6" t="s">
        <v>235</v>
      </c>
      <c r="C80" s="7">
        <v>2.0</v>
      </c>
      <c r="D80" s="74">
        <v>1.0</v>
      </c>
      <c r="E80" s="37">
        <v>4.5</v>
      </c>
      <c r="F80" s="57">
        <v>2.0</v>
      </c>
      <c r="G80" s="75"/>
      <c r="H80" s="57">
        <v>6.5</v>
      </c>
      <c r="I80" s="42">
        <v>7.0</v>
      </c>
      <c r="J80" s="71">
        <v>1.0</v>
      </c>
      <c r="K80" s="61">
        <v>6.3</v>
      </c>
      <c r="L80" s="59">
        <v>1.0</v>
      </c>
      <c r="M80" s="59">
        <v>4.0</v>
      </c>
      <c r="N80" s="56">
        <f t="shared" si="9"/>
        <v>4.0375</v>
      </c>
    </row>
    <row r="81">
      <c r="A81" s="6" t="s">
        <v>237</v>
      </c>
      <c r="B81" s="6" t="s">
        <v>238</v>
      </c>
      <c r="C81" s="7">
        <v>2.0</v>
      </c>
      <c r="D81" s="74">
        <v>4.5</v>
      </c>
      <c r="E81" s="42">
        <v>7.0</v>
      </c>
      <c r="F81" s="57">
        <v>4.0</v>
      </c>
      <c r="G81" s="75"/>
      <c r="H81" s="57">
        <v>2.5</v>
      </c>
      <c r="I81" s="42">
        <v>7.0</v>
      </c>
      <c r="J81" s="59">
        <v>4.0</v>
      </c>
      <c r="K81" s="61">
        <v>7.0</v>
      </c>
      <c r="L81" s="61">
        <v>3.0</v>
      </c>
      <c r="M81" s="59">
        <v>1.0</v>
      </c>
      <c r="N81" s="66">
        <f>(SUM(D81:M81)-MIN(D81:M81))/(COUNT(D81:M81)-1)+0.1</f>
        <v>4.975</v>
      </c>
    </row>
    <row r="82">
      <c r="A82" s="6" t="s">
        <v>240</v>
      </c>
      <c r="B82" s="6" t="s">
        <v>241</v>
      </c>
      <c r="C82" s="7">
        <v>2.0</v>
      </c>
      <c r="D82" s="42">
        <v>1.0</v>
      </c>
      <c r="E82" s="42">
        <v>4.0</v>
      </c>
      <c r="F82" s="71">
        <v>1.0</v>
      </c>
      <c r="G82" s="75"/>
      <c r="H82" s="57">
        <v>1.0</v>
      </c>
      <c r="I82" s="42">
        <v>7.0</v>
      </c>
      <c r="J82" s="71">
        <v>1.0</v>
      </c>
      <c r="K82" s="61">
        <v>1.0</v>
      </c>
      <c r="L82" s="61">
        <v>1.0</v>
      </c>
      <c r="M82" s="57" t="s">
        <v>280</v>
      </c>
      <c r="N82" s="56">
        <f t="shared" ref="N82:N83" si="10">(SUM(D82:M82)-MIN(D82:M82))/(COUNT(D82:M82)-1)</f>
        <v>2.285714286</v>
      </c>
    </row>
    <row r="83">
      <c r="A83" s="6" t="s">
        <v>243</v>
      </c>
      <c r="B83" s="6" t="s">
        <v>244</v>
      </c>
      <c r="C83" s="7">
        <v>2.0</v>
      </c>
      <c r="D83" s="42">
        <v>3.0</v>
      </c>
      <c r="E83" s="37">
        <v>4.5</v>
      </c>
      <c r="F83" s="57">
        <v>4.0</v>
      </c>
      <c r="G83" s="75"/>
      <c r="H83" s="57">
        <v>1.0</v>
      </c>
      <c r="I83" s="42">
        <v>7.0</v>
      </c>
      <c r="J83" s="59">
        <v>1.0</v>
      </c>
      <c r="K83" s="61">
        <v>7.0</v>
      </c>
      <c r="L83" s="61">
        <v>1.0</v>
      </c>
      <c r="M83" s="59">
        <v>4.0</v>
      </c>
      <c r="N83" s="56">
        <f t="shared" si="10"/>
        <v>3.9375</v>
      </c>
    </row>
  </sheetData>
  <conditionalFormatting sqref="D2:N83">
    <cfRule type="cellIs" dxfId="3" priority="1" operator="lessThan">
      <formula>3.95</formula>
    </cfRule>
  </conditionalFormatting>
  <conditionalFormatting sqref="D1:N83">
    <cfRule type="cellIs" dxfId="1" priority="2" operator="equal">
      <formula>"J"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11.57"/>
    <col customWidth="1" min="2" max="2" width="48.43"/>
    <col customWidth="1" min="3" max="3" width="8.29"/>
    <col customWidth="1" min="4" max="4" width="9.86"/>
    <col customWidth="1" min="5" max="5" width="11.29"/>
    <col customWidth="1" min="6" max="6" width="10.43"/>
    <col customWidth="1" min="7" max="7" width="11.29"/>
    <col customWidth="1" min="8" max="8" width="11.14"/>
    <col customWidth="1" min="9" max="9" width="11.29"/>
    <col customWidth="1" min="10" max="10" width="14.43"/>
    <col customWidth="1" min="11" max="11" width="8.43"/>
    <col customWidth="1" min="12" max="12" width="12.71"/>
    <col customWidth="1" min="13" max="13" width="17.0"/>
  </cols>
  <sheetData>
    <row r="1" ht="23.25" customHeight="1">
      <c r="A1" s="47" t="s">
        <v>0</v>
      </c>
      <c r="B1" s="48" t="s">
        <v>1</v>
      </c>
      <c r="C1" s="50" t="s">
        <v>4</v>
      </c>
      <c r="D1" s="76" t="s">
        <v>272</v>
      </c>
      <c r="E1" s="50" t="s">
        <v>304</v>
      </c>
      <c r="F1" s="50" t="s">
        <v>305</v>
      </c>
      <c r="G1" s="50" t="s">
        <v>306</v>
      </c>
      <c r="H1" s="50" t="s">
        <v>307</v>
      </c>
      <c r="I1" s="50" t="s">
        <v>308</v>
      </c>
      <c r="J1" s="50" t="s">
        <v>309</v>
      </c>
      <c r="K1" s="49" t="s">
        <v>310</v>
      </c>
      <c r="L1" s="77" t="s">
        <v>311</v>
      </c>
      <c r="M1" s="49" t="s">
        <v>312</v>
      </c>
    </row>
    <row r="2">
      <c r="A2" s="6" t="s">
        <v>6</v>
      </c>
      <c r="B2" s="6" t="s">
        <v>7</v>
      </c>
      <c r="C2" s="7">
        <f>VLOOKUP(B2, 'Grupos 1'!$B:$C, 2, FALSE)</f>
        <v>6</v>
      </c>
      <c r="D2" s="7">
        <v>1.0</v>
      </c>
      <c r="E2" s="78">
        <v>6.7</v>
      </c>
      <c r="F2" s="79">
        <v>5.4</v>
      </c>
      <c r="G2" s="7">
        <v>3.7</v>
      </c>
      <c r="H2" s="7">
        <v>5.1</v>
      </c>
      <c r="I2" s="7">
        <v>4.5</v>
      </c>
      <c r="J2" s="80">
        <f t="shared" ref="J2:J81" si="1">AVERAGE(E2:I2)</f>
        <v>5.08</v>
      </c>
      <c r="K2" s="81">
        <v>6.8</v>
      </c>
      <c r="L2" s="82">
        <v>1.0</v>
      </c>
      <c r="M2" s="83">
        <v>5.0</v>
      </c>
    </row>
    <row r="3">
      <c r="A3" s="6" t="s">
        <v>9</v>
      </c>
      <c r="B3" s="6" t="s">
        <v>10</v>
      </c>
      <c r="C3" s="7">
        <f>VLOOKUP(B3, 'Grupos 1'!$B:$C, 2, FALSE)</f>
        <v>10</v>
      </c>
      <c r="D3" s="7">
        <v>1.0</v>
      </c>
      <c r="E3" s="7">
        <v>6.1</v>
      </c>
      <c r="F3" s="7">
        <v>4.2</v>
      </c>
      <c r="G3" s="79">
        <v>5.8</v>
      </c>
      <c r="H3" s="7">
        <v>6.4</v>
      </c>
      <c r="I3" s="7">
        <v>3.5</v>
      </c>
      <c r="J3" s="80">
        <f t="shared" si="1"/>
        <v>5.2</v>
      </c>
      <c r="K3" s="84">
        <v>7.0</v>
      </c>
      <c r="L3" s="82">
        <v>1.0</v>
      </c>
      <c r="M3" s="83">
        <v>5.8</v>
      </c>
    </row>
    <row r="4">
      <c r="A4" s="6" t="s">
        <v>12</v>
      </c>
      <c r="B4" s="6" t="s">
        <v>13</v>
      </c>
      <c r="C4" s="7">
        <f>VLOOKUP(B4, 'Grupos 1'!$B:$C, 2, FALSE)</f>
        <v>8</v>
      </c>
      <c r="D4" s="7">
        <v>1.0</v>
      </c>
      <c r="E4" s="7">
        <v>6.4</v>
      </c>
      <c r="F4" s="79">
        <v>4.8</v>
      </c>
      <c r="G4" s="79">
        <v>3.9</v>
      </c>
      <c r="H4" s="7">
        <v>5.1</v>
      </c>
      <c r="I4" s="7">
        <v>3.3</v>
      </c>
      <c r="J4" s="80">
        <f t="shared" si="1"/>
        <v>4.7</v>
      </c>
      <c r="K4" s="81">
        <v>6.8</v>
      </c>
      <c r="L4" s="82">
        <v>1.0</v>
      </c>
      <c r="M4" s="83">
        <v>5.0</v>
      </c>
    </row>
    <row r="5">
      <c r="A5" s="6" t="s">
        <v>15</v>
      </c>
      <c r="B5" s="6" t="s">
        <v>16</v>
      </c>
      <c r="C5" s="7">
        <f>VLOOKUP(B5, 'Grupos 1'!$B:$C, 2, FALSE)</f>
        <v>7</v>
      </c>
      <c r="D5" s="7">
        <v>1.0</v>
      </c>
      <c r="E5" s="7">
        <v>6.1</v>
      </c>
      <c r="F5" s="7">
        <v>3.9</v>
      </c>
      <c r="G5" s="79">
        <v>5.8</v>
      </c>
      <c r="H5" s="7">
        <v>4.2</v>
      </c>
      <c r="I5" s="7">
        <v>5.4</v>
      </c>
      <c r="J5" s="80">
        <f t="shared" si="1"/>
        <v>5.08</v>
      </c>
      <c r="K5" s="81">
        <v>5.1</v>
      </c>
      <c r="L5" s="82">
        <v>1.0</v>
      </c>
      <c r="M5" s="83">
        <v>4.4</v>
      </c>
    </row>
    <row r="6">
      <c r="A6" s="6" t="s">
        <v>18</v>
      </c>
      <c r="B6" s="6" t="s">
        <v>19</v>
      </c>
      <c r="C6" s="7">
        <f>VLOOKUP(B6, 'Grupos 1'!$B:$C, 2, FALSE)</f>
        <v>4</v>
      </c>
      <c r="D6" s="7">
        <v>1.0</v>
      </c>
      <c r="E6" s="78">
        <v>7.0</v>
      </c>
      <c r="F6" s="78">
        <v>7.0</v>
      </c>
      <c r="G6" s="7">
        <v>6.4</v>
      </c>
      <c r="H6" s="7">
        <v>6.4</v>
      </c>
      <c r="I6" s="7">
        <v>5.1</v>
      </c>
      <c r="J6" s="80">
        <f t="shared" si="1"/>
        <v>6.38</v>
      </c>
      <c r="K6" s="84">
        <v>7.0</v>
      </c>
      <c r="L6" s="82">
        <v>0.98</v>
      </c>
      <c r="M6" s="83">
        <v>6.3</v>
      </c>
    </row>
    <row r="7">
      <c r="A7" s="6" t="s">
        <v>21</v>
      </c>
      <c r="B7" s="6" t="s">
        <v>22</v>
      </c>
      <c r="C7" s="7">
        <f>VLOOKUP(B7, 'Grupos 1'!$B:$C, 2, FALSE)</f>
        <v>5</v>
      </c>
      <c r="D7" s="7">
        <v>1.0</v>
      </c>
      <c r="E7" s="79">
        <v>6.4</v>
      </c>
      <c r="F7" s="7">
        <v>5.4</v>
      </c>
      <c r="G7" s="79">
        <v>6.4</v>
      </c>
      <c r="H7" s="7">
        <v>5.4</v>
      </c>
      <c r="I7" s="7">
        <v>4.5</v>
      </c>
      <c r="J7" s="80">
        <f t="shared" si="1"/>
        <v>5.62</v>
      </c>
      <c r="K7" s="84">
        <v>7.0</v>
      </c>
      <c r="L7" s="82">
        <v>1.0</v>
      </c>
      <c r="M7" s="83">
        <v>5.8</v>
      </c>
    </row>
    <row r="8">
      <c r="A8" s="6" t="s">
        <v>24</v>
      </c>
      <c r="B8" s="6" t="s">
        <v>25</v>
      </c>
      <c r="C8" s="7">
        <f>VLOOKUP(B8, 'Grupos 1'!$B:$C, 2, FALSE)</f>
        <v>3</v>
      </c>
      <c r="D8" s="7">
        <v>1.0</v>
      </c>
      <c r="E8" s="79">
        <v>6.4</v>
      </c>
      <c r="F8" s="79">
        <v>7.0</v>
      </c>
      <c r="G8" s="7">
        <v>5.8</v>
      </c>
      <c r="H8" s="7">
        <v>6.4</v>
      </c>
      <c r="I8" s="79">
        <v>2.9</v>
      </c>
      <c r="J8" s="80">
        <f t="shared" si="1"/>
        <v>5.7</v>
      </c>
      <c r="K8" s="81">
        <v>6.5</v>
      </c>
      <c r="L8" s="82">
        <v>1.0</v>
      </c>
      <c r="M8" s="83">
        <v>5.5</v>
      </c>
    </row>
    <row r="9">
      <c r="A9" s="6" t="s">
        <v>27</v>
      </c>
      <c r="B9" s="6" t="s">
        <v>28</v>
      </c>
      <c r="C9" s="7">
        <f>VLOOKUP(B9, 'Grupos 1'!$B:$C, 2, FALSE)</f>
        <v>2</v>
      </c>
      <c r="D9" s="7">
        <v>1.0</v>
      </c>
      <c r="E9" s="79">
        <v>7.0</v>
      </c>
      <c r="F9" s="79">
        <v>6.4</v>
      </c>
      <c r="G9" s="79">
        <v>5.1</v>
      </c>
      <c r="H9" s="79">
        <v>7.0</v>
      </c>
      <c r="I9" s="79">
        <v>4.8</v>
      </c>
      <c r="J9" s="80">
        <f t="shared" si="1"/>
        <v>6.06</v>
      </c>
      <c r="K9" s="81">
        <v>6.4</v>
      </c>
      <c r="L9" s="82">
        <v>1.0</v>
      </c>
      <c r="M9" s="83">
        <v>6.2</v>
      </c>
    </row>
    <row r="10">
      <c r="A10" s="6" t="s">
        <v>30</v>
      </c>
      <c r="B10" s="6" t="s">
        <v>31</v>
      </c>
      <c r="C10" s="7">
        <f>VLOOKUP(B10, 'Grupos 1'!$B:$C, 2, FALSE)</f>
        <v>9</v>
      </c>
      <c r="D10" s="7">
        <v>1.0</v>
      </c>
      <c r="E10" s="78">
        <v>7.0</v>
      </c>
      <c r="F10" s="7">
        <v>3.9</v>
      </c>
      <c r="G10" s="7">
        <v>3.9</v>
      </c>
      <c r="H10" s="79">
        <v>5.8</v>
      </c>
      <c r="I10" s="7">
        <v>3.9</v>
      </c>
      <c r="J10" s="80">
        <f t="shared" si="1"/>
        <v>4.9</v>
      </c>
      <c r="K10" s="81">
        <v>4.2</v>
      </c>
      <c r="L10" s="82">
        <v>1.0</v>
      </c>
      <c r="M10" s="83">
        <v>3.8</v>
      </c>
    </row>
    <row r="11">
      <c r="A11" s="6" t="s">
        <v>33</v>
      </c>
      <c r="B11" s="6" t="s">
        <v>34</v>
      </c>
      <c r="C11" s="7">
        <f>VLOOKUP(B11, 'Grupos 1'!$B:$C, 2, FALSE)</f>
        <v>4</v>
      </c>
      <c r="D11" s="7">
        <v>1.0</v>
      </c>
      <c r="E11" s="78">
        <v>7.0</v>
      </c>
      <c r="F11" s="78">
        <v>7.0</v>
      </c>
      <c r="G11" s="7">
        <v>6.4</v>
      </c>
      <c r="H11" s="7">
        <v>6.4</v>
      </c>
      <c r="I11" s="7">
        <v>5.1</v>
      </c>
      <c r="J11" s="80">
        <f t="shared" si="1"/>
        <v>6.38</v>
      </c>
      <c r="K11" s="81">
        <v>6.9</v>
      </c>
      <c r="L11" s="82">
        <v>1.0</v>
      </c>
      <c r="M11" s="83">
        <v>6.3</v>
      </c>
    </row>
    <row r="12">
      <c r="A12" s="6" t="s">
        <v>36</v>
      </c>
      <c r="B12" s="6" t="s">
        <v>37</v>
      </c>
      <c r="C12" s="7">
        <f>VLOOKUP(B12, 'Grupos 1'!$B:$C, 2, FALSE)</f>
        <v>4</v>
      </c>
      <c r="D12" s="7">
        <v>1.0</v>
      </c>
      <c r="E12" s="78">
        <v>7.0</v>
      </c>
      <c r="F12" s="78">
        <v>7.0</v>
      </c>
      <c r="G12" s="7">
        <v>6.4</v>
      </c>
      <c r="H12" s="7">
        <v>6.4</v>
      </c>
      <c r="I12" s="7">
        <v>5.1</v>
      </c>
      <c r="J12" s="80">
        <f t="shared" si="1"/>
        <v>6.38</v>
      </c>
      <c r="K12" s="84">
        <v>7.0</v>
      </c>
      <c r="L12" s="82">
        <v>1.0</v>
      </c>
      <c r="M12" s="83">
        <v>6.4</v>
      </c>
    </row>
    <row r="13">
      <c r="A13" s="6" t="s">
        <v>39</v>
      </c>
      <c r="B13" s="6" t="s">
        <v>40</v>
      </c>
      <c r="C13" s="7">
        <f>VLOOKUP(B13, 'Grupos 1'!$B:$C, 2, FALSE)</f>
        <v>5</v>
      </c>
      <c r="D13" s="7">
        <v>1.0</v>
      </c>
      <c r="E13" s="79">
        <v>6.4</v>
      </c>
      <c r="F13" s="7">
        <v>5.4</v>
      </c>
      <c r="G13" s="79">
        <v>6.4</v>
      </c>
      <c r="H13" s="7">
        <v>5.4</v>
      </c>
      <c r="I13" s="7">
        <v>4.5</v>
      </c>
      <c r="J13" s="80">
        <f t="shared" si="1"/>
        <v>5.62</v>
      </c>
      <c r="K13" s="84">
        <v>7.0</v>
      </c>
      <c r="L13" s="82">
        <v>1.0</v>
      </c>
      <c r="M13" s="83">
        <v>5.8</v>
      </c>
    </row>
    <row r="14">
      <c r="A14" s="6" t="s">
        <v>42</v>
      </c>
      <c r="B14" s="6" t="s">
        <v>43</v>
      </c>
      <c r="C14" s="7">
        <f>VLOOKUP(B14, 'Grupos 1'!$B:$C, 2, FALSE)</f>
        <v>2</v>
      </c>
      <c r="D14" s="7">
        <v>1.0</v>
      </c>
      <c r="E14" s="79">
        <v>7.0</v>
      </c>
      <c r="F14" s="79">
        <v>6.4</v>
      </c>
      <c r="G14" s="79">
        <v>5.1</v>
      </c>
      <c r="H14" s="79">
        <v>7.0</v>
      </c>
      <c r="I14" s="79">
        <v>4.8</v>
      </c>
      <c r="J14" s="80">
        <f t="shared" si="1"/>
        <v>6.06</v>
      </c>
      <c r="K14" s="81">
        <v>6.9</v>
      </c>
      <c r="L14" s="82">
        <v>1.0</v>
      </c>
      <c r="M14" s="83">
        <v>6.7</v>
      </c>
    </row>
    <row r="15">
      <c r="A15" s="6" t="s">
        <v>45</v>
      </c>
      <c r="B15" s="6" t="s">
        <v>46</v>
      </c>
      <c r="C15" s="7">
        <f>VLOOKUP(B15, 'Grupos 1'!$B:$C, 2, FALSE)</f>
        <v>3</v>
      </c>
      <c r="D15" s="7">
        <v>1.0</v>
      </c>
      <c r="E15" s="79">
        <v>6.4</v>
      </c>
      <c r="F15" s="79">
        <v>7.0</v>
      </c>
      <c r="G15" s="7">
        <v>5.8</v>
      </c>
      <c r="H15" s="7">
        <v>6.4</v>
      </c>
      <c r="I15" s="79">
        <v>2.9</v>
      </c>
      <c r="J15" s="80">
        <f t="shared" si="1"/>
        <v>5.7</v>
      </c>
      <c r="K15" s="81">
        <v>6.9</v>
      </c>
      <c r="L15" s="82">
        <v>1.0</v>
      </c>
      <c r="M15" s="83">
        <v>5.9</v>
      </c>
    </row>
    <row r="16">
      <c r="A16" s="6" t="s">
        <v>48</v>
      </c>
      <c r="B16" s="6" t="s">
        <v>49</v>
      </c>
      <c r="C16" s="7">
        <f>VLOOKUP(B16, 'Grupos 1'!$B:$C, 2, FALSE)</f>
        <v>8</v>
      </c>
      <c r="D16" s="7">
        <v>1.0</v>
      </c>
      <c r="E16" s="7">
        <v>6.4</v>
      </c>
      <c r="F16" s="79">
        <v>4.8</v>
      </c>
      <c r="G16" s="79">
        <v>3.9</v>
      </c>
      <c r="H16" s="7">
        <v>5.1</v>
      </c>
      <c r="I16" s="7">
        <v>3.3</v>
      </c>
      <c r="J16" s="80">
        <f t="shared" si="1"/>
        <v>4.7</v>
      </c>
      <c r="K16" s="81">
        <v>6.3</v>
      </c>
      <c r="L16" s="82">
        <v>1.0</v>
      </c>
      <c r="M16" s="83">
        <v>4.6</v>
      </c>
    </row>
    <row r="17">
      <c r="A17" s="6" t="s">
        <v>51</v>
      </c>
      <c r="B17" s="6" t="s">
        <v>52</v>
      </c>
      <c r="C17" s="7">
        <f>VLOOKUP(B17, 'Grupos 1'!$B:$C, 2, FALSE)</f>
        <v>5</v>
      </c>
      <c r="D17" s="7">
        <v>1.0</v>
      </c>
      <c r="E17" s="79">
        <v>6.4</v>
      </c>
      <c r="F17" s="7">
        <v>5.4</v>
      </c>
      <c r="G17" s="79">
        <v>6.4</v>
      </c>
      <c r="H17" s="7">
        <v>5.4</v>
      </c>
      <c r="I17" s="7">
        <v>4.5</v>
      </c>
      <c r="J17" s="80">
        <f t="shared" si="1"/>
        <v>5.62</v>
      </c>
      <c r="K17" s="81">
        <v>5.9</v>
      </c>
      <c r="L17" s="82">
        <v>1.0</v>
      </c>
      <c r="M17" s="83">
        <v>4.9</v>
      </c>
    </row>
    <row r="18">
      <c r="A18" s="6" t="s">
        <v>54</v>
      </c>
      <c r="B18" s="6" t="s">
        <v>55</v>
      </c>
      <c r="C18" s="7">
        <f>VLOOKUP(B18, 'Grupos 1'!$B:$C, 2, FALSE)</f>
        <v>5</v>
      </c>
      <c r="D18" s="7">
        <v>1.0</v>
      </c>
      <c r="E18" s="79">
        <v>6.4</v>
      </c>
      <c r="F18" s="7">
        <v>5.4</v>
      </c>
      <c r="G18" s="79">
        <v>6.4</v>
      </c>
      <c r="H18" s="7">
        <v>5.4</v>
      </c>
      <c r="I18" s="7">
        <v>4.5</v>
      </c>
      <c r="J18" s="80">
        <f t="shared" si="1"/>
        <v>5.62</v>
      </c>
      <c r="K18" s="84">
        <v>7.0</v>
      </c>
      <c r="L18" s="82">
        <v>1.0</v>
      </c>
      <c r="M18" s="83">
        <v>5.8</v>
      </c>
    </row>
    <row r="19">
      <c r="A19" s="6" t="s">
        <v>57</v>
      </c>
      <c r="B19" s="6" t="s">
        <v>58</v>
      </c>
      <c r="C19" s="7">
        <f>VLOOKUP(B19, 'Grupos 1'!$B:$C, 2, FALSE)</f>
        <v>7</v>
      </c>
      <c r="D19" s="7">
        <v>1.0</v>
      </c>
      <c r="E19" s="7">
        <v>6.1</v>
      </c>
      <c r="F19" s="7">
        <v>3.9</v>
      </c>
      <c r="G19" s="79">
        <v>5.8</v>
      </c>
      <c r="H19" s="7">
        <v>4.2</v>
      </c>
      <c r="I19" s="7">
        <v>5.4</v>
      </c>
      <c r="J19" s="80">
        <f t="shared" si="1"/>
        <v>5.08</v>
      </c>
      <c r="K19" s="81">
        <v>5.2</v>
      </c>
      <c r="L19" s="82">
        <v>1.0</v>
      </c>
      <c r="M19" s="83">
        <v>4.5</v>
      </c>
    </row>
    <row r="20">
      <c r="A20" s="6" t="s">
        <v>60</v>
      </c>
      <c r="B20" s="6" t="s">
        <v>61</v>
      </c>
      <c r="C20" s="7">
        <f>VLOOKUP(B20, 'Grupos 1'!$B:$C, 2, FALSE)</f>
        <v>3</v>
      </c>
      <c r="D20" s="7">
        <v>1.0</v>
      </c>
      <c r="E20" s="79">
        <v>6.4</v>
      </c>
      <c r="F20" s="79">
        <v>7.0</v>
      </c>
      <c r="G20" s="7">
        <v>5.8</v>
      </c>
      <c r="H20" s="7">
        <v>6.4</v>
      </c>
      <c r="I20" s="79">
        <v>2.9</v>
      </c>
      <c r="J20" s="80">
        <f t="shared" si="1"/>
        <v>5.7</v>
      </c>
      <c r="K20" s="81">
        <v>6.8</v>
      </c>
      <c r="L20" s="82">
        <v>1.0</v>
      </c>
      <c r="M20" s="83">
        <v>5.8</v>
      </c>
    </row>
    <row r="21" ht="15.75" customHeight="1">
      <c r="A21" s="6" t="s">
        <v>63</v>
      </c>
      <c r="B21" s="6" t="s">
        <v>64</v>
      </c>
      <c r="C21" s="7">
        <f>VLOOKUP(B21, 'Grupos 1'!$B:$C, 2, FALSE)</f>
        <v>1</v>
      </c>
      <c r="D21" s="7">
        <v>1.0</v>
      </c>
      <c r="E21" s="78">
        <v>5.8</v>
      </c>
      <c r="F21" s="79">
        <v>7.0</v>
      </c>
      <c r="G21" s="79">
        <v>7.0</v>
      </c>
      <c r="H21" s="78">
        <v>6.4</v>
      </c>
      <c r="I21" s="79">
        <v>4.2</v>
      </c>
      <c r="J21" s="80">
        <f t="shared" si="1"/>
        <v>6.08</v>
      </c>
      <c r="K21" s="84">
        <v>7.0</v>
      </c>
      <c r="L21" s="82">
        <v>1.0</v>
      </c>
      <c r="M21" s="83">
        <v>7.0</v>
      </c>
    </row>
    <row r="22" ht="15.75" customHeight="1">
      <c r="A22" s="6" t="s">
        <v>66</v>
      </c>
      <c r="B22" s="6" t="s">
        <v>67</v>
      </c>
      <c r="C22" s="7">
        <f>VLOOKUP(B22, 'Grupos 1'!$B:$C, 2, FALSE)</f>
        <v>10</v>
      </c>
      <c r="D22" s="7">
        <v>1.0</v>
      </c>
      <c r="E22" s="7">
        <v>6.1</v>
      </c>
      <c r="F22" s="7">
        <v>4.2</v>
      </c>
      <c r="G22" s="79">
        <v>5.8</v>
      </c>
      <c r="H22" s="7">
        <v>6.4</v>
      </c>
      <c r="I22" s="7">
        <v>3.5</v>
      </c>
      <c r="J22" s="80">
        <f t="shared" si="1"/>
        <v>5.2</v>
      </c>
      <c r="K22" s="81">
        <v>4.9</v>
      </c>
      <c r="L22" s="82">
        <v>1.0</v>
      </c>
      <c r="M22" s="83">
        <v>4.1</v>
      </c>
    </row>
    <row r="23" ht="15.75" customHeight="1">
      <c r="A23" s="6" t="s">
        <v>69</v>
      </c>
      <c r="B23" s="6" t="s">
        <v>70</v>
      </c>
      <c r="C23" s="7">
        <f>VLOOKUP(B23, 'Grupos 1'!$B:$C, 2, FALSE)</f>
        <v>1</v>
      </c>
      <c r="D23" s="7">
        <v>1.0</v>
      </c>
      <c r="E23" s="78">
        <v>5.8</v>
      </c>
      <c r="F23" s="79">
        <v>7.0</v>
      </c>
      <c r="G23" s="79">
        <v>7.0</v>
      </c>
      <c r="H23" s="78">
        <v>6.4</v>
      </c>
      <c r="I23" s="79">
        <v>4.2</v>
      </c>
      <c r="J23" s="80">
        <f t="shared" si="1"/>
        <v>6.08</v>
      </c>
      <c r="K23" s="84">
        <v>7.0</v>
      </c>
      <c r="L23" s="82">
        <v>1.0</v>
      </c>
      <c r="M23" s="83">
        <v>7.0</v>
      </c>
    </row>
    <row r="24" ht="15.75" customHeight="1">
      <c r="A24" s="6" t="s">
        <v>72</v>
      </c>
      <c r="B24" s="6" t="s">
        <v>73</v>
      </c>
      <c r="C24" s="7">
        <f>VLOOKUP(B24, 'Grupos 1'!$B:$C, 2, FALSE)</f>
        <v>7</v>
      </c>
      <c r="D24" s="7">
        <v>1.0</v>
      </c>
      <c r="E24" s="7">
        <v>6.1</v>
      </c>
      <c r="F24" s="7">
        <v>3.9</v>
      </c>
      <c r="G24" s="79">
        <v>5.8</v>
      </c>
      <c r="H24" s="7">
        <v>4.2</v>
      </c>
      <c r="I24" s="7">
        <v>5.4</v>
      </c>
      <c r="J24" s="80">
        <f t="shared" si="1"/>
        <v>5.08</v>
      </c>
      <c r="K24" s="81">
        <v>6.8</v>
      </c>
      <c r="L24" s="82">
        <v>1.0</v>
      </c>
      <c r="M24" s="83">
        <v>5.8</v>
      </c>
    </row>
    <row r="25" ht="15.75" customHeight="1">
      <c r="A25" s="6" t="s">
        <v>75</v>
      </c>
      <c r="B25" s="6" t="s">
        <v>76</v>
      </c>
      <c r="C25" s="7">
        <f>VLOOKUP(B25, 'Grupos 1'!$B:$C, 2, FALSE)</f>
        <v>9</v>
      </c>
      <c r="D25" s="7">
        <v>1.0</v>
      </c>
      <c r="E25" s="78">
        <v>7.0</v>
      </c>
      <c r="F25" s="7">
        <v>3.9</v>
      </c>
      <c r="G25" s="7">
        <v>3.9</v>
      </c>
      <c r="H25" s="79">
        <v>5.8</v>
      </c>
      <c r="I25" s="7">
        <v>3.9</v>
      </c>
      <c r="J25" s="80">
        <f t="shared" si="1"/>
        <v>4.9</v>
      </c>
      <c r="K25" s="81">
        <v>6.8</v>
      </c>
      <c r="L25" s="82">
        <v>1.0</v>
      </c>
      <c r="M25" s="83">
        <v>6.2</v>
      </c>
    </row>
    <row r="26" ht="15.75" customHeight="1">
      <c r="A26" s="6" t="s">
        <v>78</v>
      </c>
      <c r="B26" s="6" t="s">
        <v>79</v>
      </c>
      <c r="C26" s="7">
        <f>VLOOKUP(B26, 'Grupos 1'!$B:$C, 2, FALSE)</f>
        <v>3</v>
      </c>
      <c r="D26" s="7">
        <v>1.0</v>
      </c>
      <c r="E26" s="79">
        <v>6.4</v>
      </c>
      <c r="F26" s="79">
        <v>7.0</v>
      </c>
      <c r="G26" s="7">
        <v>5.8</v>
      </c>
      <c r="H26" s="7">
        <v>6.4</v>
      </c>
      <c r="I26" s="79">
        <v>2.9</v>
      </c>
      <c r="J26" s="80">
        <f t="shared" si="1"/>
        <v>5.7</v>
      </c>
      <c r="K26" s="81">
        <v>6.7</v>
      </c>
      <c r="L26" s="82">
        <v>1.0</v>
      </c>
      <c r="M26" s="83">
        <v>5.7</v>
      </c>
    </row>
    <row r="27" ht="15.75" customHeight="1">
      <c r="A27" s="6" t="s">
        <v>81</v>
      </c>
      <c r="B27" s="6" t="s">
        <v>82</v>
      </c>
      <c r="C27" s="7">
        <f>VLOOKUP(B27, 'Grupos 1'!$B:$C, 2, FALSE)</f>
        <v>1</v>
      </c>
      <c r="D27" s="7">
        <v>1.0</v>
      </c>
      <c r="E27" s="78">
        <v>5.8</v>
      </c>
      <c r="F27" s="79">
        <v>7.0</v>
      </c>
      <c r="G27" s="79">
        <v>7.0</v>
      </c>
      <c r="H27" s="78">
        <v>6.4</v>
      </c>
      <c r="I27" s="79">
        <v>4.2</v>
      </c>
      <c r="J27" s="80">
        <f t="shared" si="1"/>
        <v>6.08</v>
      </c>
      <c r="K27" s="81">
        <v>2.6</v>
      </c>
      <c r="L27" s="82">
        <v>0.9</v>
      </c>
      <c r="M27" s="83">
        <v>3.2</v>
      </c>
    </row>
    <row r="28" ht="15.75" customHeight="1">
      <c r="A28" s="6" t="s">
        <v>84</v>
      </c>
      <c r="B28" s="6" t="s">
        <v>85</v>
      </c>
      <c r="C28" s="7">
        <f>VLOOKUP(B28, 'Grupos 1'!$B:$C, 2, FALSE)</f>
        <v>2</v>
      </c>
      <c r="D28" s="7">
        <v>1.0</v>
      </c>
      <c r="E28" s="79">
        <v>7.0</v>
      </c>
      <c r="F28" s="79">
        <v>6.4</v>
      </c>
      <c r="G28" s="79">
        <v>5.1</v>
      </c>
      <c r="H28" s="79">
        <v>7.0</v>
      </c>
      <c r="I28" s="79">
        <v>4.8</v>
      </c>
      <c r="J28" s="80">
        <f t="shared" si="1"/>
        <v>6.06</v>
      </c>
      <c r="K28" s="84">
        <v>7.0</v>
      </c>
      <c r="L28" s="82">
        <v>1.0</v>
      </c>
      <c r="M28" s="83">
        <v>6.8</v>
      </c>
    </row>
    <row r="29" ht="15.75" customHeight="1">
      <c r="A29" s="6" t="s">
        <v>87</v>
      </c>
      <c r="B29" s="6" t="s">
        <v>88</v>
      </c>
      <c r="C29" s="7">
        <f>VLOOKUP(B29, 'Grupos 1'!$B:$C, 2, FALSE)</f>
        <v>2</v>
      </c>
      <c r="D29" s="7">
        <v>1.0</v>
      </c>
      <c r="E29" s="79">
        <v>7.0</v>
      </c>
      <c r="F29" s="79">
        <v>6.4</v>
      </c>
      <c r="G29" s="79">
        <v>5.1</v>
      </c>
      <c r="H29" s="79">
        <v>7.0</v>
      </c>
      <c r="I29" s="79">
        <v>4.8</v>
      </c>
      <c r="J29" s="80">
        <f t="shared" si="1"/>
        <v>6.06</v>
      </c>
      <c r="K29" s="84">
        <v>4.0</v>
      </c>
      <c r="L29" s="82">
        <v>1.0</v>
      </c>
      <c r="M29" s="83">
        <v>3.9</v>
      </c>
    </row>
    <row r="30" ht="15.75" customHeight="1">
      <c r="A30" s="6" t="s">
        <v>90</v>
      </c>
      <c r="B30" s="6" t="s">
        <v>91</v>
      </c>
      <c r="C30" s="7">
        <f>VLOOKUP(B30, 'Grupos 1'!$B:$C, 2, FALSE)</f>
        <v>6</v>
      </c>
      <c r="D30" s="7">
        <v>1.0</v>
      </c>
      <c r="E30" s="78">
        <v>6.7</v>
      </c>
      <c r="F30" s="79">
        <v>5.4</v>
      </c>
      <c r="G30" s="7">
        <v>3.7</v>
      </c>
      <c r="H30" s="7">
        <v>5.1</v>
      </c>
      <c r="I30" s="7">
        <v>4.5</v>
      </c>
      <c r="J30" s="80">
        <f t="shared" si="1"/>
        <v>5.08</v>
      </c>
      <c r="K30" s="84">
        <v>7.0</v>
      </c>
      <c r="L30" s="82">
        <v>1.0</v>
      </c>
      <c r="M30" s="83">
        <v>5.2</v>
      </c>
    </row>
    <row r="31" ht="15.75" customHeight="1">
      <c r="A31" s="6" t="s">
        <v>93</v>
      </c>
      <c r="B31" s="6" t="s">
        <v>94</v>
      </c>
      <c r="C31" s="7">
        <f>VLOOKUP(B31, 'Grupos 1'!$B:$C, 2, FALSE)</f>
        <v>6</v>
      </c>
      <c r="D31" s="7">
        <v>1.0</v>
      </c>
      <c r="E31" s="78">
        <v>6.7</v>
      </c>
      <c r="F31" s="79">
        <v>5.4</v>
      </c>
      <c r="G31" s="7">
        <v>3.7</v>
      </c>
      <c r="H31" s="7">
        <v>5.1</v>
      </c>
      <c r="I31" s="7">
        <v>4.5</v>
      </c>
      <c r="J31" s="80">
        <f t="shared" si="1"/>
        <v>5.08</v>
      </c>
      <c r="K31" s="81">
        <v>6.9</v>
      </c>
      <c r="L31" s="82">
        <v>1.0</v>
      </c>
      <c r="M31" s="83">
        <v>5.1</v>
      </c>
    </row>
    <row r="32" ht="15.75" customHeight="1">
      <c r="A32" s="6" t="s">
        <v>96</v>
      </c>
      <c r="B32" s="6" t="s">
        <v>97</v>
      </c>
      <c r="C32" s="7">
        <f>VLOOKUP(B32, 'Grupos 1'!$B:$C, 2, FALSE)</f>
        <v>8</v>
      </c>
      <c r="D32" s="7">
        <v>1.0</v>
      </c>
      <c r="E32" s="7">
        <v>6.4</v>
      </c>
      <c r="F32" s="79">
        <v>4.8</v>
      </c>
      <c r="G32" s="79">
        <v>3.9</v>
      </c>
      <c r="H32" s="7">
        <v>5.1</v>
      </c>
      <c r="I32" s="7">
        <v>3.3</v>
      </c>
      <c r="J32" s="80">
        <f t="shared" si="1"/>
        <v>4.7</v>
      </c>
      <c r="K32" s="81">
        <v>6.4</v>
      </c>
      <c r="L32" s="82">
        <v>1.0</v>
      </c>
      <c r="M32" s="83">
        <v>4.7</v>
      </c>
    </row>
    <row r="33" ht="15.75" customHeight="1">
      <c r="A33" s="6" t="s">
        <v>99</v>
      </c>
      <c r="B33" s="6" t="s">
        <v>100</v>
      </c>
      <c r="C33" s="7">
        <f>VLOOKUP(B33, 'Grupos 1'!$B:$C, 2, FALSE)</f>
        <v>6</v>
      </c>
      <c r="D33" s="7">
        <v>1.0</v>
      </c>
      <c r="E33" s="78">
        <v>6.7</v>
      </c>
      <c r="F33" s="79">
        <v>5.4</v>
      </c>
      <c r="G33" s="7">
        <v>3.7</v>
      </c>
      <c r="H33" s="7">
        <v>5.1</v>
      </c>
      <c r="I33" s="7">
        <v>4.5</v>
      </c>
      <c r="J33" s="80">
        <f t="shared" si="1"/>
        <v>5.08</v>
      </c>
      <c r="K33" s="84">
        <v>7.0</v>
      </c>
      <c r="L33" s="82">
        <v>1.0</v>
      </c>
      <c r="M33" s="83">
        <v>5.2</v>
      </c>
    </row>
    <row r="34" ht="15.75" customHeight="1">
      <c r="A34" s="6" t="s">
        <v>102</v>
      </c>
      <c r="B34" s="6" t="s">
        <v>103</v>
      </c>
      <c r="C34" s="7">
        <f>VLOOKUP(B34, 'Grupos 1'!$B:$C, 2, FALSE)</f>
        <v>7</v>
      </c>
      <c r="D34" s="7">
        <v>1.0</v>
      </c>
      <c r="E34" s="7">
        <v>6.1</v>
      </c>
      <c r="F34" s="7">
        <v>3.9</v>
      </c>
      <c r="G34" s="79">
        <v>5.8</v>
      </c>
      <c r="H34" s="7">
        <v>4.2</v>
      </c>
      <c r="I34" s="7">
        <v>5.4</v>
      </c>
      <c r="J34" s="80">
        <f t="shared" si="1"/>
        <v>5.08</v>
      </c>
      <c r="K34" s="81">
        <v>6.7</v>
      </c>
      <c r="L34" s="82">
        <v>1.0</v>
      </c>
      <c r="M34" s="83">
        <v>5.7</v>
      </c>
    </row>
    <row r="35" ht="15.75" customHeight="1">
      <c r="A35" s="6" t="s">
        <v>105</v>
      </c>
      <c r="B35" s="6" t="s">
        <v>106</v>
      </c>
      <c r="C35" s="7">
        <f>VLOOKUP(B35, 'Grupos 1'!$B:$C, 2, FALSE)</f>
        <v>10</v>
      </c>
      <c r="D35" s="7">
        <v>1.0</v>
      </c>
      <c r="E35" s="7">
        <v>6.1</v>
      </c>
      <c r="F35" s="7">
        <v>4.2</v>
      </c>
      <c r="G35" s="79">
        <v>5.8</v>
      </c>
      <c r="H35" s="7">
        <v>6.4</v>
      </c>
      <c r="I35" s="7">
        <v>3.5</v>
      </c>
      <c r="J35" s="80">
        <f t="shared" si="1"/>
        <v>5.2</v>
      </c>
      <c r="K35" s="81">
        <v>6.6</v>
      </c>
      <c r="L35" s="82">
        <v>1.0</v>
      </c>
      <c r="M35" s="83">
        <v>5.5</v>
      </c>
    </row>
    <row r="36" ht="15.75" customHeight="1">
      <c r="A36" s="6" t="s">
        <v>108</v>
      </c>
      <c r="B36" s="6" t="s">
        <v>109</v>
      </c>
      <c r="C36" s="7">
        <f>VLOOKUP(B36, 'Grupos 1'!$B:$C, 2, FALSE)</f>
        <v>1</v>
      </c>
      <c r="D36" s="7">
        <v>1.0</v>
      </c>
      <c r="E36" s="78">
        <v>5.8</v>
      </c>
      <c r="F36" s="79">
        <v>7.0</v>
      </c>
      <c r="G36" s="79">
        <v>7.0</v>
      </c>
      <c r="H36" s="78">
        <v>6.4</v>
      </c>
      <c r="I36" s="79">
        <v>4.2</v>
      </c>
      <c r="J36" s="80">
        <f t="shared" si="1"/>
        <v>6.08</v>
      </c>
      <c r="K36" s="81">
        <v>1.7</v>
      </c>
      <c r="L36" s="82">
        <v>0.9</v>
      </c>
      <c r="M36" s="83">
        <v>2.1</v>
      </c>
    </row>
    <row r="37" ht="15.75" customHeight="1">
      <c r="A37" s="6" t="s">
        <v>111</v>
      </c>
      <c r="B37" s="6" t="s">
        <v>112</v>
      </c>
      <c r="C37" s="7">
        <f>VLOOKUP(B37, 'Grupos 1'!$B:$C, 2, FALSE)</f>
        <v>8</v>
      </c>
      <c r="D37" s="7">
        <v>1.0</v>
      </c>
      <c r="E37" s="7">
        <v>6.4</v>
      </c>
      <c r="F37" s="79">
        <v>4.8</v>
      </c>
      <c r="G37" s="79">
        <v>3.9</v>
      </c>
      <c r="H37" s="7">
        <v>5.1</v>
      </c>
      <c r="I37" s="7">
        <v>3.3</v>
      </c>
      <c r="J37" s="80">
        <f t="shared" si="1"/>
        <v>4.7</v>
      </c>
      <c r="K37" s="81">
        <v>6.3</v>
      </c>
      <c r="L37" s="82">
        <v>1.0</v>
      </c>
      <c r="M37" s="83">
        <v>4.6</v>
      </c>
    </row>
    <row r="38" ht="15.75" customHeight="1">
      <c r="A38" s="6" t="s">
        <v>114</v>
      </c>
      <c r="B38" s="6" t="s">
        <v>115</v>
      </c>
      <c r="C38" s="7">
        <f>VLOOKUP(B38, 'Grupos 1'!$B:$C, 2, FALSE)</f>
        <v>10</v>
      </c>
      <c r="D38" s="7">
        <v>1.0</v>
      </c>
      <c r="E38" s="7">
        <v>6.1</v>
      </c>
      <c r="F38" s="7">
        <v>4.2</v>
      </c>
      <c r="G38" s="79">
        <v>5.8</v>
      </c>
      <c r="H38" s="7">
        <v>6.4</v>
      </c>
      <c r="I38" s="7">
        <v>3.5</v>
      </c>
      <c r="J38" s="80">
        <f t="shared" si="1"/>
        <v>5.2</v>
      </c>
      <c r="K38" s="81">
        <v>6.6</v>
      </c>
      <c r="L38" s="82">
        <v>1.0</v>
      </c>
      <c r="M38" s="83">
        <v>5.5</v>
      </c>
    </row>
    <row r="39" ht="15.75" customHeight="1">
      <c r="A39" s="6" t="s">
        <v>117</v>
      </c>
      <c r="B39" s="6" t="s">
        <v>118</v>
      </c>
      <c r="C39" s="7">
        <f>VLOOKUP(B39, 'Grupos 1'!$B:$C, 2, FALSE)</f>
        <v>9</v>
      </c>
      <c r="D39" s="7">
        <v>1.0</v>
      </c>
      <c r="E39" s="78">
        <v>7.0</v>
      </c>
      <c r="F39" s="7">
        <v>3.9</v>
      </c>
      <c r="G39" s="7">
        <v>3.9</v>
      </c>
      <c r="H39" s="79">
        <v>5.8</v>
      </c>
      <c r="I39" s="7">
        <v>3.9</v>
      </c>
      <c r="J39" s="80">
        <f t="shared" si="1"/>
        <v>4.9</v>
      </c>
      <c r="K39" s="81">
        <v>5.4</v>
      </c>
      <c r="L39" s="82">
        <v>1.0</v>
      </c>
      <c r="M39" s="83">
        <v>4.9</v>
      </c>
    </row>
    <row r="40" ht="15.75" customHeight="1">
      <c r="A40" s="6" t="s">
        <v>120</v>
      </c>
      <c r="B40" s="6" t="s">
        <v>121</v>
      </c>
      <c r="C40" s="7">
        <f>VLOOKUP(B40, 'Grupos 1'!$B:$C, 2, FALSE)</f>
        <v>1</v>
      </c>
      <c r="D40" s="7">
        <v>1.0</v>
      </c>
      <c r="E40" s="78">
        <v>5.8</v>
      </c>
      <c r="F40" s="79">
        <v>7.0</v>
      </c>
      <c r="G40" s="79">
        <v>7.0</v>
      </c>
      <c r="H40" s="78">
        <v>6.4</v>
      </c>
      <c r="I40" s="79">
        <v>4.2</v>
      </c>
      <c r="J40" s="80">
        <f t="shared" si="1"/>
        <v>6.08</v>
      </c>
      <c r="K40" s="81">
        <v>4.3</v>
      </c>
      <c r="L40" s="82">
        <v>1.0</v>
      </c>
      <c r="M40" s="83">
        <v>5.8</v>
      </c>
    </row>
    <row r="41" ht="15.75" customHeight="1">
      <c r="A41" s="6" t="s">
        <v>123</v>
      </c>
      <c r="B41" s="6" t="s">
        <v>124</v>
      </c>
      <c r="C41" s="7">
        <f>VLOOKUP(B41, 'Grupos 1'!$B:$C, 2, FALSE)</f>
        <v>2</v>
      </c>
      <c r="D41" s="7">
        <v>1.0</v>
      </c>
      <c r="E41" s="79">
        <v>7.0</v>
      </c>
      <c r="F41" s="79">
        <v>6.4</v>
      </c>
      <c r="G41" s="79">
        <v>5.1</v>
      </c>
      <c r="H41" s="79">
        <v>7.0</v>
      </c>
      <c r="I41" s="79">
        <v>4.8</v>
      </c>
      <c r="J41" s="80">
        <f t="shared" si="1"/>
        <v>6.06</v>
      </c>
      <c r="K41" s="84">
        <v>7.0</v>
      </c>
      <c r="L41" s="82">
        <v>1.0</v>
      </c>
      <c r="M41" s="83">
        <v>6.8</v>
      </c>
    </row>
    <row r="42" ht="15.75" customHeight="1">
      <c r="A42" s="6" t="s">
        <v>126</v>
      </c>
      <c r="B42" s="6" t="s">
        <v>127</v>
      </c>
      <c r="C42" s="7">
        <f>VLOOKUP(B42, 'Grupos 1'!$B:$C, 2, FALSE)</f>
        <v>3</v>
      </c>
      <c r="D42" s="7">
        <v>1.0</v>
      </c>
      <c r="E42" s="79">
        <v>6.4</v>
      </c>
      <c r="F42" s="79">
        <v>7.0</v>
      </c>
      <c r="G42" s="7">
        <v>5.8</v>
      </c>
      <c r="H42" s="7">
        <v>6.4</v>
      </c>
      <c r="I42" s="79">
        <v>2.9</v>
      </c>
      <c r="J42" s="80">
        <f t="shared" si="1"/>
        <v>5.7</v>
      </c>
      <c r="K42" s="81">
        <v>6.5</v>
      </c>
      <c r="L42" s="82">
        <v>1.0</v>
      </c>
      <c r="M42" s="83">
        <v>5.5</v>
      </c>
    </row>
    <row r="43" ht="15.75" customHeight="1">
      <c r="A43" s="6" t="s">
        <v>129</v>
      </c>
      <c r="B43" s="6" t="s">
        <v>130</v>
      </c>
      <c r="C43" s="7">
        <f>VLOOKUP(B43, 'Grupos 1'!$B:$C, 2, FALSE)</f>
        <v>4</v>
      </c>
      <c r="D43" s="7">
        <v>1.0</v>
      </c>
      <c r="E43" s="78">
        <v>7.0</v>
      </c>
      <c r="F43" s="78">
        <v>7.0</v>
      </c>
      <c r="G43" s="7">
        <v>6.4</v>
      </c>
      <c r="H43" s="7">
        <v>6.4</v>
      </c>
      <c r="I43" s="7">
        <v>5.1</v>
      </c>
      <c r="J43" s="80">
        <f t="shared" si="1"/>
        <v>6.38</v>
      </c>
      <c r="K43" s="84">
        <v>7.0</v>
      </c>
      <c r="L43" s="82">
        <v>1.0</v>
      </c>
      <c r="M43" s="83">
        <v>6.4</v>
      </c>
    </row>
    <row r="44" ht="15.75" customHeight="1">
      <c r="A44" s="6" t="s">
        <v>132</v>
      </c>
      <c r="B44" s="6" t="s">
        <v>133</v>
      </c>
      <c r="C44" s="7">
        <f>VLOOKUP(B44, 'Grupos 1'!$B:$C, 2, FALSE)</f>
        <v>9</v>
      </c>
      <c r="D44" s="7">
        <v>1.0</v>
      </c>
      <c r="E44" s="78">
        <v>7.0</v>
      </c>
      <c r="F44" s="7">
        <v>3.9</v>
      </c>
      <c r="G44" s="7">
        <v>3.9</v>
      </c>
      <c r="H44" s="79">
        <v>5.8</v>
      </c>
      <c r="I44" s="7">
        <v>3.9</v>
      </c>
      <c r="J44" s="80">
        <f t="shared" si="1"/>
        <v>4.9</v>
      </c>
      <c r="K44" s="84">
        <v>5.0</v>
      </c>
      <c r="L44" s="82">
        <v>1.0</v>
      </c>
      <c r="M44" s="83">
        <v>4.6</v>
      </c>
    </row>
    <row r="45" ht="15.75" customHeight="1">
      <c r="A45" s="6" t="s">
        <v>135</v>
      </c>
      <c r="B45" s="6" t="s">
        <v>136</v>
      </c>
      <c r="C45" s="7">
        <f>VLOOKUP(B45, 'Grupos 2'!B:C, 2, FALSE)</f>
        <v>15</v>
      </c>
      <c r="D45" s="7">
        <v>2.0</v>
      </c>
      <c r="E45" s="78">
        <v>6.4</v>
      </c>
      <c r="F45" s="7">
        <v>5.4</v>
      </c>
      <c r="G45" s="78">
        <v>4.5</v>
      </c>
      <c r="H45" s="78">
        <v>4.8</v>
      </c>
      <c r="I45" s="79">
        <v>3.3</v>
      </c>
      <c r="J45" s="80">
        <f t="shared" si="1"/>
        <v>4.88</v>
      </c>
      <c r="K45" s="84">
        <v>7.0</v>
      </c>
      <c r="L45" s="82">
        <v>1.0</v>
      </c>
      <c r="M45" s="83">
        <v>4.9</v>
      </c>
    </row>
    <row r="46" ht="15.75" customHeight="1">
      <c r="A46" s="6" t="s">
        <v>138</v>
      </c>
      <c r="B46" s="6" t="s">
        <v>139</v>
      </c>
      <c r="C46" s="7">
        <f>VLOOKUP(B46, 'Grupos 2'!B:C, 2, FALSE)</f>
        <v>19</v>
      </c>
      <c r="D46" s="7">
        <v>2.0</v>
      </c>
      <c r="E46" s="78">
        <v>6.1</v>
      </c>
      <c r="F46" s="7">
        <v>4.8</v>
      </c>
      <c r="G46" s="7">
        <v>3.9</v>
      </c>
      <c r="H46" s="79">
        <v>5.1</v>
      </c>
      <c r="I46" s="7">
        <v>2.9</v>
      </c>
      <c r="J46" s="80">
        <f t="shared" si="1"/>
        <v>4.56</v>
      </c>
      <c r="K46" s="81">
        <v>6.6</v>
      </c>
      <c r="L46" s="82">
        <v>0.9</v>
      </c>
      <c r="M46" s="83">
        <v>4.0</v>
      </c>
    </row>
    <row r="47" ht="15.75" customHeight="1">
      <c r="A47" s="6" t="s">
        <v>141</v>
      </c>
      <c r="B47" s="6" t="s">
        <v>142</v>
      </c>
      <c r="C47" s="7">
        <f>VLOOKUP(B47, 'Grupos 2'!B:C, 2, FALSE)</f>
        <v>16</v>
      </c>
      <c r="D47" s="7">
        <v>2.0</v>
      </c>
      <c r="E47" s="79">
        <v>7.0</v>
      </c>
      <c r="F47" s="79">
        <v>5.4</v>
      </c>
      <c r="G47" s="79">
        <v>5.8</v>
      </c>
      <c r="H47" s="79">
        <v>4.8</v>
      </c>
      <c r="I47" s="79">
        <v>2.0</v>
      </c>
      <c r="J47" s="80">
        <f t="shared" si="1"/>
        <v>5</v>
      </c>
      <c r="K47" s="84">
        <v>7.0</v>
      </c>
      <c r="L47" s="82">
        <v>1.0</v>
      </c>
      <c r="M47" s="83">
        <v>5.0</v>
      </c>
    </row>
    <row r="48" ht="15.75" customHeight="1">
      <c r="A48" s="6" t="s">
        <v>144</v>
      </c>
      <c r="B48" s="6" t="s">
        <v>145</v>
      </c>
      <c r="C48" s="7">
        <f>VLOOKUP(B48, 'Grupos 2'!B:C, 2, FALSE)</f>
        <v>19</v>
      </c>
      <c r="D48" s="7">
        <v>2.0</v>
      </c>
      <c r="E48" s="78">
        <v>6.1</v>
      </c>
      <c r="F48" s="7">
        <v>4.8</v>
      </c>
      <c r="G48" s="7">
        <v>3.9</v>
      </c>
      <c r="H48" s="79">
        <v>5.1</v>
      </c>
      <c r="I48" s="7">
        <v>2.9</v>
      </c>
      <c r="J48" s="80">
        <f t="shared" si="1"/>
        <v>4.56</v>
      </c>
      <c r="K48" s="84">
        <v>7.0</v>
      </c>
      <c r="L48" s="82">
        <v>1.0</v>
      </c>
      <c r="M48" s="83">
        <v>4.7</v>
      </c>
    </row>
    <row r="49" ht="15.75" customHeight="1">
      <c r="A49" s="6" t="s">
        <v>147</v>
      </c>
      <c r="B49" s="6" t="s">
        <v>148</v>
      </c>
      <c r="C49" s="7">
        <f>VLOOKUP(B49, 'Grupos 2'!B:C, 2, FALSE)</f>
        <v>17</v>
      </c>
      <c r="D49" s="7">
        <v>2.0</v>
      </c>
      <c r="E49" s="79">
        <v>7.0</v>
      </c>
      <c r="F49" s="79">
        <v>4.8</v>
      </c>
      <c r="G49" s="7">
        <v>5.8</v>
      </c>
      <c r="H49" s="7">
        <v>5.1</v>
      </c>
      <c r="I49" s="79">
        <v>3.1</v>
      </c>
      <c r="J49" s="80">
        <f t="shared" si="1"/>
        <v>5.16</v>
      </c>
      <c r="K49" s="81">
        <v>6.8</v>
      </c>
      <c r="L49" s="82">
        <v>1.0</v>
      </c>
      <c r="M49" s="83">
        <v>5.2</v>
      </c>
    </row>
    <row r="50" ht="15.75" customHeight="1">
      <c r="A50" s="6" t="s">
        <v>150</v>
      </c>
      <c r="B50" s="6" t="s">
        <v>151</v>
      </c>
      <c r="C50" s="7">
        <f>VLOOKUP(B50, 'Grupos 2'!B:C, 2, FALSE)</f>
        <v>11</v>
      </c>
      <c r="D50" s="7">
        <v>2.0</v>
      </c>
      <c r="E50" s="79">
        <v>7.0</v>
      </c>
      <c r="F50" s="79">
        <v>6.1</v>
      </c>
      <c r="G50" s="79">
        <v>4.5</v>
      </c>
      <c r="H50" s="7">
        <v>6.4</v>
      </c>
      <c r="I50" s="7">
        <v>1.6</v>
      </c>
      <c r="J50" s="80">
        <f t="shared" si="1"/>
        <v>5.12</v>
      </c>
      <c r="K50" s="81">
        <v>4.5</v>
      </c>
      <c r="L50" s="82">
        <v>1.0</v>
      </c>
      <c r="M50" s="83">
        <v>3.8</v>
      </c>
    </row>
    <row r="51" ht="15.75" customHeight="1">
      <c r="A51" s="6" t="s">
        <v>153</v>
      </c>
      <c r="B51" s="6" t="s">
        <v>154</v>
      </c>
      <c r="C51" s="7">
        <f>VLOOKUP(B51, 'Grupos 2'!B:C, 2, FALSE)</f>
        <v>11</v>
      </c>
      <c r="D51" s="7">
        <v>2.0</v>
      </c>
      <c r="E51" s="79">
        <v>7.0</v>
      </c>
      <c r="F51" s="79">
        <v>6.1</v>
      </c>
      <c r="G51" s="79">
        <v>4.5</v>
      </c>
      <c r="H51" s="7">
        <v>6.4</v>
      </c>
      <c r="I51" s="7">
        <v>1.6</v>
      </c>
      <c r="J51" s="80">
        <f t="shared" si="1"/>
        <v>5.12</v>
      </c>
      <c r="K51" s="84">
        <v>7.0</v>
      </c>
      <c r="L51" s="82">
        <v>1.0</v>
      </c>
      <c r="M51" s="83">
        <v>5.9</v>
      </c>
    </row>
    <row r="52" ht="15.75" customHeight="1">
      <c r="A52" s="6" t="s">
        <v>156</v>
      </c>
      <c r="B52" s="6" t="s">
        <v>157</v>
      </c>
      <c r="C52" s="7">
        <f>VLOOKUP(B52, 'Grupos 2'!B:C, 2, FALSE)</f>
        <v>13</v>
      </c>
      <c r="D52" s="7">
        <v>2.0</v>
      </c>
      <c r="E52" s="78">
        <v>6.4</v>
      </c>
      <c r="F52" s="7">
        <v>4.8</v>
      </c>
      <c r="G52" s="7">
        <v>4.5</v>
      </c>
      <c r="H52" s="79">
        <v>4.8</v>
      </c>
      <c r="I52" s="79">
        <v>2.0</v>
      </c>
      <c r="J52" s="80">
        <f t="shared" si="1"/>
        <v>4.5</v>
      </c>
      <c r="K52" s="84">
        <v>7.0</v>
      </c>
      <c r="L52" s="82">
        <v>1.0</v>
      </c>
      <c r="M52" s="83">
        <v>4.5</v>
      </c>
    </row>
    <row r="53" ht="15.75" customHeight="1">
      <c r="A53" s="6" t="s">
        <v>159</v>
      </c>
      <c r="B53" s="6" t="s">
        <v>160</v>
      </c>
      <c r="C53" s="7">
        <f>VLOOKUP(B53, 'Grupos 2'!B:C, 2, FALSE)</f>
        <v>18</v>
      </c>
      <c r="D53" s="7">
        <v>2.0</v>
      </c>
      <c r="E53" s="79">
        <v>4.8</v>
      </c>
      <c r="F53" s="7">
        <v>3.1</v>
      </c>
      <c r="G53" s="7">
        <v>3.5</v>
      </c>
      <c r="H53" s="7">
        <v>6.4</v>
      </c>
      <c r="I53" s="79">
        <v>2.3</v>
      </c>
      <c r="J53" s="80">
        <f t="shared" si="1"/>
        <v>4.02</v>
      </c>
      <c r="K53" s="84">
        <v>7.0</v>
      </c>
      <c r="L53" s="82">
        <v>1.0</v>
      </c>
      <c r="M53" s="83">
        <v>4.0</v>
      </c>
    </row>
    <row r="54" ht="15.75" customHeight="1">
      <c r="A54" s="6" t="s">
        <v>162</v>
      </c>
      <c r="B54" s="6" t="s">
        <v>163</v>
      </c>
      <c r="C54" s="7">
        <f>VLOOKUP(B54, 'Grupos 2'!B:C, 2, FALSE)</f>
        <v>15</v>
      </c>
      <c r="D54" s="7">
        <v>2.0</v>
      </c>
      <c r="E54" s="78">
        <v>6.4</v>
      </c>
      <c r="F54" s="7">
        <v>5.4</v>
      </c>
      <c r="G54" s="78">
        <v>4.5</v>
      </c>
      <c r="H54" s="78">
        <v>4.8</v>
      </c>
      <c r="I54" s="79">
        <v>3.3</v>
      </c>
      <c r="J54" s="80">
        <f t="shared" si="1"/>
        <v>4.88</v>
      </c>
      <c r="K54" s="84">
        <v>7.0</v>
      </c>
      <c r="L54" s="82">
        <v>1.0</v>
      </c>
      <c r="M54" s="83">
        <v>4.9</v>
      </c>
    </row>
    <row r="55" ht="15.75" customHeight="1">
      <c r="A55" s="6" t="s">
        <v>165</v>
      </c>
      <c r="B55" s="6" t="s">
        <v>166</v>
      </c>
      <c r="C55" s="7">
        <f>VLOOKUP(B55, 'Grupos 2'!B:C, 2, FALSE)</f>
        <v>14</v>
      </c>
      <c r="D55" s="7">
        <v>2.0</v>
      </c>
      <c r="E55" s="7">
        <v>6.1</v>
      </c>
      <c r="F55" s="7">
        <v>5.8</v>
      </c>
      <c r="G55" s="7">
        <v>4.5</v>
      </c>
      <c r="H55" s="7">
        <v>4.8</v>
      </c>
      <c r="I55" s="79">
        <v>3.3</v>
      </c>
      <c r="J55" s="80">
        <f t="shared" si="1"/>
        <v>4.9</v>
      </c>
      <c r="K55" s="81">
        <v>6.8</v>
      </c>
      <c r="L55" s="82">
        <v>1.0</v>
      </c>
      <c r="M55" s="83">
        <v>5.0</v>
      </c>
    </row>
    <row r="56" ht="15.75" customHeight="1">
      <c r="A56" s="6" t="s">
        <v>168</v>
      </c>
      <c r="B56" s="6" t="s">
        <v>169</v>
      </c>
      <c r="C56" s="7">
        <f>VLOOKUP(B56, 'Grupos 2'!B:C, 2, FALSE)</f>
        <v>12</v>
      </c>
      <c r="D56" s="7">
        <v>2.0</v>
      </c>
      <c r="E56" s="7">
        <v>6.7</v>
      </c>
      <c r="F56" s="7">
        <v>6.4</v>
      </c>
      <c r="G56" s="7">
        <v>4.5</v>
      </c>
      <c r="H56" s="7">
        <v>5.4</v>
      </c>
      <c r="I56" s="79">
        <v>2.3</v>
      </c>
      <c r="J56" s="80">
        <f t="shared" si="1"/>
        <v>5.06</v>
      </c>
      <c r="K56" s="81">
        <v>3.7</v>
      </c>
      <c r="L56" s="82">
        <v>1.0</v>
      </c>
      <c r="M56" s="83">
        <v>3.4</v>
      </c>
    </row>
    <row r="57" ht="15.75" customHeight="1">
      <c r="A57" s="6" t="s">
        <v>171</v>
      </c>
      <c r="B57" s="6" t="s">
        <v>172</v>
      </c>
      <c r="C57" s="7">
        <f>VLOOKUP(B57, 'Grupos 2'!B:C, 2, FALSE)</f>
        <v>13</v>
      </c>
      <c r="D57" s="7">
        <v>2.0</v>
      </c>
      <c r="E57" s="78">
        <v>6.4</v>
      </c>
      <c r="F57" s="7">
        <v>4.8</v>
      </c>
      <c r="G57" s="7">
        <v>4.5</v>
      </c>
      <c r="H57" s="79">
        <v>4.8</v>
      </c>
      <c r="I57" s="79">
        <v>2.0</v>
      </c>
      <c r="J57" s="80">
        <f t="shared" si="1"/>
        <v>4.5</v>
      </c>
      <c r="K57" s="84">
        <v>7.0</v>
      </c>
      <c r="L57" s="82">
        <v>1.0</v>
      </c>
      <c r="M57" s="83">
        <v>4.5</v>
      </c>
    </row>
    <row r="58" ht="15.75" customHeight="1">
      <c r="A58" s="6" t="s">
        <v>174</v>
      </c>
      <c r="B58" s="6" t="s">
        <v>175</v>
      </c>
      <c r="C58" s="7">
        <f>VLOOKUP(B58, 'Grupos 2'!B:C, 2, FALSE)</f>
        <v>12</v>
      </c>
      <c r="D58" s="7">
        <v>2.0</v>
      </c>
      <c r="E58" s="7">
        <v>6.7</v>
      </c>
      <c r="F58" s="7">
        <v>6.4</v>
      </c>
      <c r="G58" s="7">
        <v>4.5</v>
      </c>
      <c r="H58" s="7">
        <v>5.4</v>
      </c>
      <c r="I58" s="79">
        <v>2.3</v>
      </c>
      <c r="J58" s="80">
        <f t="shared" si="1"/>
        <v>5.06</v>
      </c>
      <c r="K58" s="84">
        <v>7.0</v>
      </c>
      <c r="L58" s="82">
        <v>1.0</v>
      </c>
      <c r="M58" s="83">
        <v>6.5</v>
      </c>
    </row>
    <row r="59" ht="15.75" customHeight="1">
      <c r="A59" s="6" t="s">
        <v>177</v>
      </c>
      <c r="B59" s="6" t="s">
        <v>178</v>
      </c>
      <c r="C59" s="7">
        <f>VLOOKUP(B59, 'Grupos 2'!B:C, 2, FALSE)</f>
        <v>20</v>
      </c>
      <c r="D59" s="7">
        <v>2.0</v>
      </c>
      <c r="E59" s="78">
        <v>6.4</v>
      </c>
      <c r="F59" s="7">
        <v>5.8</v>
      </c>
      <c r="G59" s="79">
        <v>3.9</v>
      </c>
      <c r="H59" s="79">
        <v>7.0</v>
      </c>
      <c r="I59" s="7">
        <v>2.5</v>
      </c>
      <c r="J59" s="80">
        <f t="shared" si="1"/>
        <v>5.12</v>
      </c>
      <c r="K59" s="81">
        <v>5.8</v>
      </c>
      <c r="L59" s="82">
        <v>1.0</v>
      </c>
      <c r="M59" s="83">
        <v>5.1</v>
      </c>
    </row>
    <row r="60" ht="15.75" customHeight="1">
      <c r="A60" s="6" t="s">
        <v>180</v>
      </c>
      <c r="B60" s="6" t="s">
        <v>181</v>
      </c>
      <c r="C60" s="7">
        <f>VLOOKUP(B60, 'Grupos 2'!B:C, 2, FALSE)</f>
        <v>17</v>
      </c>
      <c r="D60" s="7">
        <v>2.0</v>
      </c>
      <c r="E60" s="79">
        <v>7.0</v>
      </c>
      <c r="F60" s="79">
        <v>4.8</v>
      </c>
      <c r="G60" s="7">
        <v>5.8</v>
      </c>
      <c r="H60" s="7">
        <v>5.1</v>
      </c>
      <c r="I60" s="79">
        <v>3.1</v>
      </c>
      <c r="J60" s="80">
        <f t="shared" si="1"/>
        <v>5.16</v>
      </c>
      <c r="K60" s="81">
        <v>6.4</v>
      </c>
      <c r="L60" s="82">
        <v>1.0</v>
      </c>
      <c r="M60" s="83">
        <v>4.9</v>
      </c>
    </row>
    <row r="61" ht="15.75" customHeight="1">
      <c r="A61" s="6" t="s">
        <v>183</v>
      </c>
      <c r="B61" s="6" t="s">
        <v>184</v>
      </c>
      <c r="C61" s="7">
        <f>VLOOKUP(B61, 'Grupos 2'!B:C, 2, FALSE)</f>
        <v>19</v>
      </c>
      <c r="D61" s="7">
        <v>2.0</v>
      </c>
      <c r="E61" s="78">
        <v>6.1</v>
      </c>
      <c r="F61" s="7">
        <v>4.8</v>
      </c>
      <c r="G61" s="7">
        <v>3.9</v>
      </c>
      <c r="H61" s="79">
        <v>5.1</v>
      </c>
      <c r="I61" s="7">
        <v>2.9</v>
      </c>
      <c r="J61" s="80">
        <f t="shared" si="1"/>
        <v>4.56</v>
      </c>
      <c r="K61" s="81">
        <v>6.9</v>
      </c>
      <c r="L61" s="82">
        <v>1.0</v>
      </c>
      <c r="M61" s="83">
        <v>4.7</v>
      </c>
    </row>
    <row r="62" ht="15.75" customHeight="1">
      <c r="A62" s="6" t="s">
        <v>186</v>
      </c>
      <c r="B62" s="6" t="s">
        <v>187</v>
      </c>
      <c r="C62" s="7">
        <f>VLOOKUP(B62, 'Grupos 2'!B:C, 2, FALSE)</f>
        <v>11</v>
      </c>
      <c r="D62" s="7">
        <v>2.0</v>
      </c>
      <c r="E62" s="79">
        <v>7.0</v>
      </c>
      <c r="F62" s="79">
        <v>6.1</v>
      </c>
      <c r="G62" s="79">
        <v>4.5</v>
      </c>
      <c r="H62" s="7">
        <v>6.4</v>
      </c>
      <c r="I62" s="7">
        <v>1.6</v>
      </c>
      <c r="J62" s="80">
        <f t="shared" si="1"/>
        <v>5.12</v>
      </c>
      <c r="K62" s="81">
        <v>6.1</v>
      </c>
      <c r="L62" s="82">
        <v>1.0</v>
      </c>
      <c r="M62" s="83">
        <v>5.1</v>
      </c>
    </row>
    <row r="63" ht="15.75" customHeight="1">
      <c r="A63" s="6" t="s">
        <v>189</v>
      </c>
      <c r="B63" s="6" t="s">
        <v>190</v>
      </c>
      <c r="C63" s="7">
        <f>VLOOKUP(B63, 'Grupos 2'!B:C, 2, FALSE)</f>
        <v>16</v>
      </c>
      <c r="D63" s="7">
        <v>2.0</v>
      </c>
      <c r="E63" s="79">
        <v>7.0</v>
      </c>
      <c r="F63" s="79">
        <v>5.4</v>
      </c>
      <c r="G63" s="79">
        <v>5.8</v>
      </c>
      <c r="H63" s="79">
        <v>4.8</v>
      </c>
      <c r="I63" s="79">
        <v>2.0</v>
      </c>
      <c r="J63" s="80">
        <f t="shared" si="1"/>
        <v>5</v>
      </c>
      <c r="K63" s="84">
        <v>7.0</v>
      </c>
      <c r="L63" s="82">
        <v>1.0</v>
      </c>
      <c r="M63" s="83">
        <v>5.0</v>
      </c>
    </row>
    <row r="64" ht="15.75" customHeight="1">
      <c r="A64" s="6" t="s">
        <v>192</v>
      </c>
      <c r="B64" s="6" t="s">
        <v>193</v>
      </c>
      <c r="C64" s="7">
        <f>VLOOKUP(B64, 'Grupos 2'!B:C, 2, FALSE)</f>
        <v>12</v>
      </c>
      <c r="D64" s="7">
        <v>2.0</v>
      </c>
      <c r="E64" s="7">
        <v>6.7</v>
      </c>
      <c r="F64" s="7">
        <v>6.4</v>
      </c>
      <c r="G64" s="7">
        <v>4.5</v>
      </c>
      <c r="H64" s="7">
        <v>5.4</v>
      </c>
      <c r="I64" s="79">
        <v>2.3</v>
      </c>
      <c r="J64" s="80">
        <f t="shared" si="1"/>
        <v>5.06</v>
      </c>
      <c r="K64" s="84">
        <v>7.0</v>
      </c>
      <c r="L64" s="82">
        <v>1.0</v>
      </c>
      <c r="M64" s="83">
        <v>6.5</v>
      </c>
    </row>
    <row r="65" ht="15.75" customHeight="1">
      <c r="A65" s="6" t="s">
        <v>195</v>
      </c>
      <c r="B65" s="6" t="s">
        <v>196</v>
      </c>
      <c r="C65" s="7">
        <f>VLOOKUP(B65, 'Grupos 2'!B:C, 2, FALSE)</f>
        <v>14</v>
      </c>
      <c r="D65" s="7">
        <v>2.0</v>
      </c>
      <c r="E65" s="7">
        <v>6.1</v>
      </c>
      <c r="F65" s="7">
        <v>5.8</v>
      </c>
      <c r="G65" s="7">
        <v>4.5</v>
      </c>
      <c r="H65" s="7">
        <v>4.8</v>
      </c>
      <c r="I65" s="79">
        <v>3.3</v>
      </c>
      <c r="J65" s="80">
        <f t="shared" si="1"/>
        <v>4.9</v>
      </c>
      <c r="K65" s="81">
        <v>6.8</v>
      </c>
      <c r="L65" s="82">
        <v>1.0</v>
      </c>
      <c r="M65" s="83">
        <v>5.0</v>
      </c>
    </row>
    <row r="66" ht="15.75" customHeight="1">
      <c r="A66" s="6" t="s">
        <v>198</v>
      </c>
      <c r="B66" s="6" t="s">
        <v>199</v>
      </c>
      <c r="C66" s="7">
        <f>VLOOKUP(B66, 'Grupos 2'!B:C, 2, FALSE)</f>
        <v>19</v>
      </c>
      <c r="D66" s="7">
        <v>2.0</v>
      </c>
      <c r="E66" s="78">
        <v>6.1</v>
      </c>
      <c r="F66" s="7">
        <v>4.8</v>
      </c>
      <c r="G66" s="7">
        <v>3.9</v>
      </c>
      <c r="H66" s="79">
        <v>5.1</v>
      </c>
      <c r="I66" s="7">
        <v>2.9</v>
      </c>
      <c r="J66" s="80">
        <f t="shared" si="1"/>
        <v>4.56</v>
      </c>
      <c r="K66" s="81">
        <v>6.7</v>
      </c>
      <c r="L66" s="82">
        <v>1.0</v>
      </c>
      <c r="M66" s="83">
        <v>4.5</v>
      </c>
    </row>
    <row r="67" ht="15.75" customHeight="1">
      <c r="A67" s="6" t="s">
        <v>201</v>
      </c>
      <c r="B67" s="6" t="s">
        <v>202</v>
      </c>
      <c r="C67" s="7">
        <f>VLOOKUP(B67, 'Grupos 2'!B:C, 2, FALSE)</f>
        <v>20</v>
      </c>
      <c r="D67" s="7">
        <v>2.0</v>
      </c>
      <c r="E67" s="78">
        <v>6.4</v>
      </c>
      <c r="F67" s="7">
        <v>5.8</v>
      </c>
      <c r="G67" s="79">
        <v>3.9</v>
      </c>
      <c r="H67" s="79">
        <v>7.0</v>
      </c>
      <c r="I67" s="7">
        <v>2.5</v>
      </c>
      <c r="J67" s="80">
        <f t="shared" si="1"/>
        <v>5.12</v>
      </c>
      <c r="K67" s="81">
        <v>4.9</v>
      </c>
      <c r="L67" s="82">
        <v>1.0</v>
      </c>
      <c r="M67" s="83">
        <v>4.3</v>
      </c>
    </row>
    <row r="68" ht="15.75" customHeight="1">
      <c r="A68" s="6" t="s">
        <v>204</v>
      </c>
      <c r="B68" s="6" t="s">
        <v>205</v>
      </c>
      <c r="C68" s="7">
        <f>VLOOKUP(B68, 'Grupos 2'!B:C, 2, FALSE)</f>
        <v>13</v>
      </c>
      <c r="D68" s="7">
        <v>2.0</v>
      </c>
      <c r="E68" s="78">
        <v>6.4</v>
      </c>
      <c r="F68" s="7">
        <v>4.8</v>
      </c>
      <c r="G68" s="7">
        <v>4.5</v>
      </c>
      <c r="H68" s="79">
        <v>4.8</v>
      </c>
      <c r="I68" s="79">
        <v>2.0</v>
      </c>
      <c r="J68" s="80">
        <f t="shared" si="1"/>
        <v>4.5</v>
      </c>
      <c r="K68" s="84">
        <v>7.0</v>
      </c>
      <c r="L68" s="82">
        <v>1.0</v>
      </c>
      <c r="M68" s="83">
        <v>4.5</v>
      </c>
    </row>
    <row r="69" ht="15.75" customHeight="1">
      <c r="A69" s="6" t="s">
        <v>207</v>
      </c>
      <c r="B69" s="6" t="s">
        <v>208</v>
      </c>
      <c r="C69" s="7">
        <f>VLOOKUP(B69, 'Grupos 2'!B:C, 2, FALSE)</f>
        <v>14</v>
      </c>
      <c r="D69" s="7">
        <v>2.0</v>
      </c>
      <c r="E69" s="7">
        <v>6.1</v>
      </c>
      <c r="F69" s="7">
        <v>5.8</v>
      </c>
      <c r="G69" s="7">
        <v>4.5</v>
      </c>
      <c r="H69" s="7">
        <v>4.8</v>
      </c>
      <c r="I69" s="79">
        <v>3.3</v>
      </c>
      <c r="J69" s="80">
        <f t="shared" si="1"/>
        <v>4.9</v>
      </c>
      <c r="K69" s="84">
        <v>7.0</v>
      </c>
      <c r="L69" s="82">
        <v>1.0</v>
      </c>
      <c r="M69" s="83">
        <v>5.1</v>
      </c>
    </row>
    <row r="70" ht="15.75" customHeight="1">
      <c r="A70" s="6" t="s">
        <v>210</v>
      </c>
      <c r="B70" s="6" t="s">
        <v>211</v>
      </c>
      <c r="C70" s="7">
        <f>VLOOKUP(B70, 'Grupos 2'!B:C, 2, FALSE)</f>
        <v>12</v>
      </c>
      <c r="D70" s="7">
        <v>2.0</v>
      </c>
      <c r="E70" s="7">
        <v>6.7</v>
      </c>
      <c r="F70" s="7">
        <v>6.4</v>
      </c>
      <c r="G70" s="7">
        <v>4.5</v>
      </c>
      <c r="H70" s="7">
        <v>5.4</v>
      </c>
      <c r="I70" s="79">
        <v>2.3</v>
      </c>
      <c r="J70" s="80">
        <f t="shared" si="1"/>
        <v>5.06</v>
      </c>
      <c r="K70" s="81">
        <v>4.2</v>
      </c>
      <c r="L70" s="82">
        <v>1.0</v>
      </c>
      <c r="M70" s="83">
        <v>3.9</v>
      </c>
    </row>
    <row r="71" ht="15.75" customHeight="1">
      <c r="A71" s="6" t="s">
        <v>213</v>
      </c>
      <c r="B71" s="6" t="s">
        <v>214</v>
      </c>
      <c r="C71" s="7">
        <f>VLOOKUP(B71, 'Grupos 2'!B:C, 2, FALSE)</f>
        <v>20</v>
      </c>
      <c r="D71" s="7">
        <v>2.0</v>
      </c>
      <c r="E71" s="78">
        <v>6.4</v>
      </c>
      <c r="F71" s="7">
        <v>5.8</v>
      </c>
      <c r="G71" s="79">
        <v>3.9</v>
      </c>
      <c r="H71" s="79">
        <v>7.0</v>
      </c>
      <c r="I71" s="7">
        <v>2.5</v>
      </c>
      <c r="J71" s="80">
        <f t="shared" si="1"/>
        <v>5.12</v>
      </c>
      <c r="K71" s="84">
        <v>7.0</v>
      </c>
      <c r="L71" s="82">
        <v>1.0</v>
      </c>
      <c r="M71" s="83">
        <v>6.2</v>
      </c>
    </row>
    <row r="72" ht="15.75" customHeight="1">
      <c r="A72" s="6" t="s">
        <v>216</v>
      </c>
      <c r="B72" s="6" t="s">
        <v>217</v>
      </c>
      <c r="C72" s="7">
        <f>VLOOKUP(B72, 'Grupos 2'!B:C, 2, FALSE)</f>
        <v>11</v>
      </c>
      <c r="D72" s="7">
        <v>2.0</v>
      </c>
      <c r="E72" s="79">
        <v>7.0</v>
      </c>
      <c r="F72" s="79">
        <v>6.1</v>
      </c>
      <c r="G72" s="79">
        <v>4.5</v>
      </c>
      <c r="H72" s="7">
        <v>6.4</v>
      </c>
      <c r="I72" s="7">
        <v>1.6</v>
      </c>
      <c r="J72" s="80">
        <f t="shared" si="1"/>
        <v>5.12</v>
      </c>
      <c r="K72" s="84">
        <v>7.0</v>
      </c>
      <c r="L72" s="82">
        <v>1.0</v>
      </c>
      <c r="M72" s="83">
        <v>5.9</v>
      </c>
    </row>
    <row r="73" ht="15.75" customHeight="1">
      <c r="A73" s="6" t="s">
        <v>219</v>
      </c>
      <c r="B73" s="6" t="s">
        <v>220</v>
      </c>
      <c r="C73" s="7">
        <f>VLOOKUP(B73, 'Grupos 2'!B:C, 2, FALSE)</f>
        <v>16</v>
      </c>
      <c r="D73" s="7">
        <v>2.0</v>
      </c>
      <c r="E73" s="79">
        <v>7.0</v>
      </c>
      <c r="F73" s="79">
        <v>5.4</v>
      </c>
      <c r="G73" s="79">
        <v>5.8</v>
      </c>
      <c r="H73" s="79">
        <v>4.8</v>
      </c>
      <c r="I73" s="79">
        <v>2.0</v>
      </c>
      <c r="J73" s="80">
        <f t="shared" si="1"/>
        <v>5</v>
      </c>
      <c r="K73" s="84">
        <v>7.0</v>
      </c>
      <c r="L73" s="82">
        <v>1.0</v>
      </c>
      <c r="M73" s="83">
        <v>5.0</v>
      </c>
    </row>
    <row r="74" ht="15.75" customHeight="1">
      <c r="A74" s="6" t="s">
        <v>222</v>
      </c>
      <c r="B74" s="6" t="s">
        <v>223</v>
      </c>
      <c r="C74" s="7">
        <f>VLOOKUP(B74, 'Grupos 2'!B:C, 2, FALSE)</f>
        <v>18</v>
      </c>
      <c r="D74" s="7">
        <v>2.0</v>
      </c>
      <c r="E74" s="79">
        <v>4.8</v>
      </c>
      <c r="F74" s="7">
        <v>3.1</v>
      </c>
      <c r="G74" s="7">
        <v>3.5</v>
      </c>
      <c r="H74" s="7">
        <v>6.4</v>
      </c>
      <c r="I74" s="79">
        <v>2.3</v>
      </c>
      <c r="J74" s="80">
        <f t="shared" si="1"/>
        <v>4.02</v>
      </c>
      <c r="K74" s="84">
        <v>7.0</v>
      </c>
      <c r="L74" s="82">
        <v>1.0</v>
      </c>
      <c r="M74" s="83">
        <v>4.0</v>
      </c>
    </row>
    <row r="75" ht="15.75" customHeight="1">
      <c r="A75" s="6" t="s">
        <v>225</v>
      </c>
      <c r="B75" s="6" t="s">
        <v>226</v>
      </c>
      <c r="C75" s="7">
        <f>VLOOKUP(B75, 'Grupos 2'!B:C, 2, FALSE)</f>
        <v>15</v>
      </c>
      <c r="D75" s="7">
        <v>2.0</v>
      </c>
      <c r="E75" s="78">
        <v>6.4</v>
      </c>
      <c r="F75" s="7">
        <v>5.4</v>
      </c>
      <c r="G75" s="78">
        <v>4.5</v>
      </c>
      <c r="H75" s="78">
        <v>4.8</v>
      </c>
      <c r="I75" s="79">
        <v>3.3</v>
      </c>
      <c r="J75" s="80">
        <f t="shared" si="1"/>
        <v>4.88</v>
      </c>
      <c r="K75" s="81">
        <v>6.9</v>
      </c>
      <c r="L75" s="82">
        <v>1.0</v>
      </c>
      <c r="M75" s="83">
        <v>4.9</v>
      </c>
    </row>
    <row r="76" ht="15.75" customHeight="1">
      <c r="A76" s="6" t="s">
        <v>228</v>
      </c>
      <c r="B76" s="6" t="s">
        <v>229</v>
      </c>
      <c r="C76" s="7">
        <f>VLOOKUP(B76, 'Grupos 2'!B:C, 2, FALSE)</f>
        <v>20</v>
      </c>
      <c r="D76" s="7">
        <v>2.0</v>
      </c>
      <c r="E76" s="78">
        <v>6.4</v>
      </c>
      <c r="F76" s="7">
        <v>5.8</v>
      </c>
      <c r="G76" s="79">
        <v>3.9</v>
      </c>
      <c r="H76" s="79">
        <v>7.0</v>
      </c>
      <c r="I76" s="7">
        <v>2.5</v>
      </c>
      <c r="J76" s="80">
        <f t="shared" si="1"/>
        <v>5.12</v>
      </c>
      <c r="K76" s="81">
        <v>5.5</v>
      </c>
      <c r="L76" s="82">
        <v>1.0</v>
      </c>
      <c r="M76" s="83">
        <v>4.8</v>
      </c>
    </row>
    <row r="77" ht="15.75" customHeight="1">
      <c r="A77" s="6" t="s">
        <v>231</v>
      </c>
      <c r="B77" s="6" t="s">
        <v>232</v>
      </c>
      <c r="C77" s="7">
        <f>VLOOKUP(B77, 'Grupos 2'!B:C, 2, FALSE)</f>
        <v>16</v>
      </c>
      <c r="D77" s="7">
        <v>2.0</v>
      </c>
      <c r="E77" s="79">
        <v>7.0</v>
      </c>
      <c r="F77" s="79">
        <v>5.4</v>
      </c>
      <c r="G77" s="79">
        <v>5.8</v>
      </c>
      <c r="H77" s="79">
        <v>4.8</v>
      </c>
      <c r="I77" s="79">
        <v>2.0</v>
      </c>
      <c r="J77" s="80">
        <f t="shared" si="1"/>
        <v>5</v>
      </c>
      <c r="K77" s="84">
        <v>7.0</v>
      </c>
      <c r="L77" s="82">
        <v>1.0</v>
      </c>
      <c r="M77" s="83">
        <v>5.0</v>
      </c>
    </row>
    <row r="78" ht="15.75" customHeight="1">
      <c r="A78" s="6" t="s">
        <v>234</v>
      </c>
      <c r="B78" s="6" t="s">
        <v>235</v>
      </c>
      <c r="C78" s="7">
        <f>VLOOKUP(B78, 'Grupos 2'!B:C, 2, FALSE)</f>
        <v>11</v>
      </c>
      <c r="D78" s="7">
        <v>2.0</v>
      </c>
      <c r="E78" s="79">
        <v>7.0</v>
      </c>
      <c r="F78" s="79">
        <v>6.1</v>
      </c>
      <c r="G78" s="79">
        <v>4.5</v>
      </c>
      <c r="H78" s="7">
        <v>6.4</v>
      </c>
      <c r="I78" s="7">
        <v>1.6</v>
      </c>
      <c r="J78" s="80">
        <f t="shared" si="1"/>
        <v>5.12</v>
      </c>
      <c r="K78" s="81">
        <v>5.9</v>
      </c>
      <c r="L78" s="82">
        <v>1.0</v>
      </c>
      <c r="M78" s="83">
        <v>4.9</v>
      </c>
    </row>
    <row r="79" ht="15.75" customHeight="1">
      <c r="A79" s="6" t="s">
        <v>237</v>
      </c>
      <c r="B79" s="6" t="s">
        <v>238</v>
      </c>
      <c r="C79" s="7">
        <f>VLOOKUP(B79, 'Grupos 2'!B:C, 2, FALSE)</f>
        <v>17</v>
      </c>
      <c r="D79" s="7">
        <v>2.0</v>
      </c>
      <c r="E79" s="79">
        <v>7.0</v>
      </c>
      <c r="F79" s="79">
        <v>4.8</v>
      </c>
      <c r="G79" s="7">
        <v>5.8</v>
      </c>
      <c r="H79" s="7">
        <v>5.1</v>
      </c>
      <c r="I79" s="79">
        <v>3.1</v>
      </c>
      <c r="J79" s="80">
        <f t="shared" si="1"/>
        <v>5.16</v>
      </c>
      <c r="K79" s="81">
        <v>6.9</v>
      </c>
      <c r="L79" s="82">
        <v>1.0</v>
      </c>
      <c r="M79" s="83">
        <v>5.3</v>
      </c>
    </row>
    <row r="80" ht="15.75" customHeight="1">
      <c r="A80" s="6" t="s">
        <v>240</v>
      </c>
      <c r="B80" s="6" t="s">
        <v>241</v>
      </c>
      <c r="C80" s="7">
        <f>VLOOKUP(B80, 'Grupos 2'!B:C, 2, FALSE)</f>
        <v>14</v>
      </c>
      <c r="D80" s="7">
        <v>2.0</v>
      </c>
      <c r="E80" s="7">
        <v>6.1</v>
      </c>
      <c r="F80" s="7">
        <v>5.8</v>
      </c>
      <c r="G80" s="7">
        <v>4.5</v>
      </c>
      <c r="H80" s="7">
        <v>4.8</v>
      </c>
      <c r="I80" s="79">
        <v>3.3</v>
      </c>
      <c r="J80" s="80">
        <f t="shared" si="1"/>
        <v>4.9</v>
      </c>
      <c r="K80" s="81">
        <v>6.3</v>
      </c>
      <c r="L80" s="82">
        <v>1.0</v>
      </c>
      <c r="M80" s="83">
        <v>4.6</v>
      </c>
    </row>
    <row r="81" ht="15.75" customHeight="1">
      <c r="A81" s="6" t="s">
        <v>243</v>
      </c>
      <c r="B81" s="6" t="s">
        <v>244</v>
      </c>
      <c r="C81" s="7">
        <f>VLOOKUP(B81, 'Grupos 2'!B:C, 2, FALSE)</f>
        <v>17</v>
      </c>
      <c r="D81" s="7">
        <v>2.0</v>
      </c>
      <c r="E81" s="79">
        <v>7.0</v>
      </c>
      <c r="F81" s="79">
        <v>4.8</v>
      </c>
      <c r="G81" s="7">
        <v>5.8</v>
      </c>
      <c r="H81" s="7">
        <v>5.1</v>
      </c>
      <c r="I81" s="79">
        <v>3.1</v>
      </c>
      <c r="J81" s="80">
        <f t="shared" si="1"/>
        <v>5.16</v>
      </c>
      <c r="K81" s="84">
        <v>7.0</v>
      </c>
      <c r="L81" s="82">
        <v>1.0</v>
      </c>
      <c r="M81" s="83">
        <v>5.4</v>
      </c>
    </row>
  </sheetData>
  <autoFilter ref="$A$1:$M$81">
    <sortState ref="A1:M81">
      <sortCondition ref="D1:D81"/>
      <sortCondition ref="B1:B81"/>
      <sortCondition ref="C1:C81"/>
    </sortState>
  </autoFilter>
  <conditionalFormatting sqref="M1:M81 E2:K81">
    <cfRule type="cellIs" dxfId="3" priority="1" operator="lessThan">
      <formula>3.95</formula>
    </cfRule>
  </conditionalFormatting>
  <conditionalFormatting sqref="L1:L81">
    <cfRule type="colorScale" priority="2">
      <colorScale>
        <cfvo type="formula" val="0.9"/>
        <cfvo type="formula" val="1"/>
        <color rgb="FFF4CCCC"/>
        <color rgb="FFFFFFFF"/>
      </colorScale>
    </cfRule>
  </conditionalFormatting>
  <printOptions/>
  <pageMargins bottom="0.78740157480315" footer="0.0" header="0.0" left="0.78740157480315" right="0.78740157480315" top="0.7874015748031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1.57"/>
    <col customWidth="1" min="2" max="2" width="49.29"/>
    <col customWidth="1" min="3" max="3" width="12.71"/>
    <col customWidth="1" min="4" max="4" width="18.29"/>
    <col customWidth="1" min="5" max="5" width="17.29"/>
    <col customWidth="1" min="8" max="8" width="2.14"/>
    <col customWidth="1" min="9" max="9" width="12.14"/>
    <col customWidth="1" min="10" max="10" width="7.14"/>
  </cols>
  <sheetData>
    <row r="1">
      <c r="A1" s="4" t="s">
        <v>0</v>
      </c>
      <c r="B1" s="3" t="s">
        <v>1</v>
      </c>
      <c r="C1" s="3" t="s">
        <v>3</v>
      </c>
      <c r="D1" s="3" t="s">
        <v>282</v>
      </c>
      <c r="E1" s="3" t="s">
        <v>283</v>
      </c>
      <c r="F1" s="3" t="s">
        <v>285</v>
      </c>
      <c r="G1" s="3" t="s">
        <v>286</v>
      </c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6" t="s">
        <v>135</v>
      </c>
      <c r="B2" s="6" t="s">
        <v>136</v>
      </c>
      <c r="C2" s="7">
        <v>2.0</v>
      </c>
      <c r="D2" s="44"/>
      <c r="E2" s="44"/>
      <c r="F2" s="45"/>
      <c r="G2" s="85"/>
      <c r="H2" s="36"/>
      <c r="I2" s="36" t="s">
        <v>287</v>
      </c>
      <c r="J2" s="40">
        <v>60.0</v>
      </c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6" t="s">
        <v>6</v>
      </c>
      <c r="B3" s="6" t="s">
        <v>7</v>
      </c>
      <c r="C3" s="7">
        <v>1.0</v>
      </c>
      <c r="D3" s="37">
        <v>17.0</v>
      </c>
      <c r="E3" s="42">
        <v>10.5</v>
      </c>
      <c r="F3" s="38">
        <f t="shared" ref="F3:F4" si="1">SUM(D3:E3)</f>
        <v>27.5</v>
      </c>
      <c r="G3" s="39">
        <f t="shared" ref="G3:G4" si="2">IF(IF(F3&gt;=$J$4*0.6,3*(((F3/$J$4)*100-60)/(100-60))+4,3*(F3/($J$4*0.6))+1)&gt;7,7,IF(F3&gt;=$J$4*0.6,3*(((F3/$J$4)*100-60)/(100-60))+4,3*(F3/($J$4*0.6))+1))</f>
        <v>3.412280702</v>
      </c>
      <c r="H3" s="86">
        <v>1.0</v>
      </c>
      <c r="I3" s="36" t="s">
        <v>288</v>
      </c>
      <c r="J3" s="41">
        <f>MAX(F:F)</f>
        <v>41.5</v>
      </c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6" t="s">
        <v>138</v>
      </c>
      <c r="B4" s="6" t="s">
        <v>139</v>
      </c>
      <c r="C4" s="7">
        <v>2.0</v>
      </c>
      <c r="D4" s="37">
        <v>21.0</v>
      </c>
      <c r="E4" s="42">
        <v>12.0</v>
      </c>
      <c r="F4" s="38">
        <f t="shared" si="1"/>
        <v>33</v>
      </c>
      <c r="G4" s="39">
        <f t="shared" si="2"/>
        <v>3.894736842</v>
      </c>
      <c r="H4" s="86">
        <v>1.0</v>
      </c>
      <c r="I4" s="36" t="s">
        <v>289</v>
      </c>
      <c r="J4" s="40">
        <v>57.0</v>
      </c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6" t="s">
        <v>9</v>
      </c>
      <c r="B5" s="6" t="s">
        <v>10</v>
      </c>
      <c r="C5" s="7">
        <v>1.0</v>
      </c>
      <c r="D5" s="44"/>
      <c r="E5" s="44"/>
      <c r="F5" s="45"/>
      <c r="G5" s="85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6" t="s">
        <v>141</v>
      </c>
      <c r="B6" s="6" t="s">
        <v>142</v>
      </c>
      <c r="C6" s="7">
        <v>2.0</v>
      </c>
      <c r="D6" s="37">
        <v>15.0</v>
      </c>
      <c r="E6" s="39">
        <v>10.0</v>
      </c>
      <c r="F6" s="38">
        <f t="shared" ref="F6:F10" si="3">SUM(D6:E6)</f>
        <v>25</v>
      </c>
      <c r="G6" s="39">
        <f t="shared" ref="G6:G10" si="4">IF(IF(F6&gt;=$J$4*0.6,3*(((F6/$J$4)*100-60)/(100-60))+4,3*(F6/($J$4*0.6))+1)&gt;7,7,IF(F6&gt;=$J$4*0.6,3*(((F6/$J$4)*100-60)/(100-60))+4,3*(F6/($J$4*0.6))+1))</f>
        <v>3.192982456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6" t="s">
        <v>12</v>
      </c>
      <c r="B7" s="6" t="s">
        <v>13</v>
      </c>
      <c r="C7" s="7">
        <v>1.0</v>
      </c>
      <c r="D7" s="37">
        <v>22.0</v>
      </c>
      <c r="E7" s="39">
        <v>10.5</v>
      </c>
      <c r="F7" s="38">
        <f t="shared" si="3"/>
        <v>32.5</v>
      </c>
      <c r="G7" s="39">
        <f t="shared" si="4"/>
        <v>3.850877193</v>
      </c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6" t="s">
        <v>144</v>
      </c>
      <c r="B8" s="6" t="s">
        <v>145</v>
      </c>
      <c r="C8" s="7">
        <v>2.0</v>
      </c>
      <c r="D8" s="37">
        <v>16.0</v>
      </c>
      <c r="E8" s="39">
        <v>5.0</v>
      </c>
      <c r="F8" s="38">
        <f t="shared" si="3"/>
        <v>21</v>
      </c>
      <c r="G8" s="39">
        <f t="shared" si="4"/>
        <v>2.842105263</v>
      </c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6" t="s">
        <v>147</v>
      </c>
      <c r="B9" s="6" t="s">
        <v>148</v>
      </c>
      <c r="C9" s="7">
        <v>2.0</v>
      </c>
      <c r="D9" s="37">
        <v>21.0</v>
      </c>
      <c r="E9" s="42">
        <v>15.0</v>
      </c>
      <c r="F9" s="38">
        <f t="shared" si="3"/>
        <v>36</v>
      </c>
      <c r="G9" s="39">
        <f t="shared" si="4"/>
        <v>4.236842105</v>
      </c>
      <c r="H9" s="86">
        <v>1.0</v>
      </c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6" t="s">
        <v>150</v>
      </c>
      <c r="B10" s="6" t="s">
        <v>151</v>
      </c>
      <c r="C10" s="7">
        <v>2.0</v>
      </c>
      <c r="D10" s="37">
        <v>26.0</v>
      </c>
      <c r="E10" s="39">
        <v>15.5</v>
      </c>
      <c r="F10" s="38">
        <f t="shared" si="3"/>
        <v>41.5</v>
      </c>
      <c r="G10" s="39">
        <f t="shared" si="4"/>
        <v>4.960526316</v>
      </c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6" t="s">
        <v>153</v>
      </c>
      <c r="B11" s="6" t="s">
        <v>154</v>
      </c>
      <c r="C11" s="7">
        <v>2.0</v>
      </c>
      <c r="D11" s="44"/>
      <c r="E11" s="44"/>
      <c r="F11" s="45"/>
      <c r="G11" s="85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6" t="s">
        <v>156</v>
      </c>
      <c r="B12" s="6" t="s">
        <v>157</v>
      </c>
      <c r="C12" s="7">
        <v>2.0</v>
      </c>
      <c r="D12" s="37">
        <v>21.0</v>
      </c>
      <c r="E12" s="42">
        <v>7.0</v>
      </c>
      <c r="F12" s="38">
        <f t="shared" ref="F12:F16" si="5">SUM(D12:E12)</f>
        <v>28</v>
      </c>
      <c r="G12" s="39">
        <f t="shared" ref="G12:G16" si="6">IF(IF(F12&gt;=$J$4*0.6,3*(((F12/$J$4)*100-60)/(100-60))+4,3*(F12/($J$4*0.6))+1)&gt;7,7,IF(F12&gt;=$J$4*0.6,3*(((F12/$J$4)*100-60)/(100-60))+4,3*(F12/($J$4*0.6))+1))</f>
        <v>3.456140351</v>
      </c>
      <c r="H12" s="86">
        <v>1.0</v>
      </c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6" t="s">
        <v>159</v>
      </c>
      <c r="B13" s="6" t="s">
        <v>160</v>
      </c>
      <c r="C13" s="7">
        <v>2.0</v>
      </c>
      <c r="D13" s="37">
        <v>18.0</v>
      </c>
      <c r="E13" s="39">
        <v>11.5</v>
      </c>
      <c r="F13" s="38">
        <f t="shared" si="5"/>
        <v>29.5</v>
      </c>
      <c r="G13" s="39">
        <f t="shared" si="6"/>
        <v>3.587719298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6" t="s">
        <v>162</v>
      </c>
      <c r="B14" s="6" t="s">
        <v>163</v>
      </c>
      <c r="C14" s="7">
        <v>2.0</v>
      </c>
      <c r="D14" s="37"/>
      <c r="E14" s="37"/>
      <c r="F14" s="38">
        <f t="shared" si="5"/>
        <v>0</v>
      </c>
      <c r="G14" s="39">
        <f t="shared" si="6"/>
        <v>1</v>
      </c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6" t="s">
        <v>165</v>
      </c>
      <c r="B15" s="6" t="s">
        <v>166</v>
      </c>
      <c r="C15" s="7">
        <v>2.0</v>
      </c>
      <c r="D15" s="37">
        <v>27.0</v>
      </c>
      <c r="E15" s="39">
        <v>7.0</v>
      </c>
      <c r="F15" s="38">
        <f t="shared" si="5"/>
        <v>34</v>
      </c>
      <c r="G15" s="39">
        <f t="shared" si="6"/>
        <v>3.98245614</v>
      </c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6" t="s">
        <v>15</v>
      </c>
      <c r="B16" s="6" t="s">
        <v>16</v>
      </c>
      <c r="C16" s="7">
        <v>1.0</v>
      </c>
      <c r="D16" s="37">
        <v>19.0</v>
      </c>
      <c r="E16" s="42">
        <v>11.75</v>
      </c>
      <c r="F16" s="38">
        <f t="shared" si="5"/>
        <v>30.75</v>
      </c>
      <c r="G16" s="39">
        <f t="shared" si="6"/>
        <v>3.697368421</v>
      </c>
      <c r="H16" s="86">
        <v>1.0</v>
      </c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6" t="s">
        <v>18</v>
      </c>
      <c r="B17" s="6" t="s">
        <v>19</v>
      </c>
      <c r="C17" s="7">
        <v>1.0</v>
      </c>
      <c r="D17" s="44"/>
      <c r="E17" s="44"/>
      <c r="F17" s="45"/>
      <c r="G17" s="85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6" t="s">
        <v>21</v>
      </c>
      <c r="B18" s="6" t="s">
        <v>22</v>
      </c>
      <c r="C18" s="7">
        <v>1.0</v>
      </c>
      <c r="D18" s="44"/>
      <c r="E18" s="44"/>
      <c r="F18" s="45"/>
      <c r="G18" s="85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6" t="s">
        <v>24</v>
      </c>
      <c r="B19" s="6" t="s">
        <v>25</v>
      </c>
      <c r="C19" s="7">
        <v>1.0</v>
      </c>
      <c r="D19" s="37">
        <v>22.0</v>
      </c>
      <c r="E19" s="42">
        <v>11.0</v>
      </c>
      <c r="F19" s="38">
        <f t="shared" ref="F19:F20" si="7">SUM(D19:E19)</f>
        <v>33</v>
      </c>
      <c r="G19" s="39">
        <f t="shared" ref="G19:G20" si="8">IF(IF(F19&gt;=$J$4*0.6,3*(((F19/$J$4)*100-60)/(100-60))+4,3*(F19/($J$4*0.6))+1)&gt;7,7,IF(F19&gt;=$J$4*0.6,3*(((F19/$J$4)*100-60)/(100-60))+4,3*(F19/($J$4*0.6))+1))</f>
        <v>3.894736842</v>
      </c>
      <c r="H19" s="86">
        <v>1.0</v>
      </c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6" t="s">
        <v>168</v>
      </c>
      <c r="B20" s="6" t="s">
        <v>169</v>
      </c>
      <c r="C20" s="7">
        <v>2.0</v>
      </c>
      <c r="D20" s="37">
        <v>10.0</v>
      </c>
      <c r="E20" s="39">
        <v>3.0</v>
      </c>
      <c r="F20" s="38">
        <f t="shared" si="7"/>
        <v>13</v>
      </c>
      <c r="G20" s="39">
        <f t="shared" si="8"/>
        <v>2.140350877</v>
      </c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>
      <c r="A21" s="6" t="s">
        <v>27</v>
      </c>
      <c r="B21" s="6" t="s">
        <v>28</v>
      </c>
      <c r="C21" s="7">
        <v>1.0</v>
      </c>
      <c r="D21" s="44"/>
      <c r="E21" s="44"/>
      <c r="F21" s="45"/>
      <c r="G21" s="85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>
      <c r="A22" s="6" t="s">
        <v>30</v>
      </c>
      <c r="B22" s="6" t="s">
        <v>31</v>
      </c>
      <c r="C22" s="7">
        <v>1.0</v>
      </c>
      <c r="D22" s="37">
        <v>19.0</v>
      </c>
      <c r="E22" s="42">
        <v>11.5</v>
      </c>
      <c r="F22" s="38">
        <f t="shared" ref="F22:F28" si="9">SUM(D22:E22)</f>
        <v>30.5</v>
      </c>
      <c r="G22" s="39">
        <f t="shared" ref="G22:G28" si="10">IF(IF(F22&gt;=$J$4*0.6,3*(((F22/$J$4)*100-60)/(100-60))+4,3*(F22/($J$4*0.6))+1)&gt;7,7,IF(F22&gt;=$J$4*0.6,3*(((F22/$J$4)*100-60)/(100-60))+4,3*(F22/($J$4*0.6))+1))</f>
        <v>3.675438596</v>
      </c>
      <c r="H22" s="86">
        <v>1.0</v>
      </c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>
      <c r="A23" s="6" t="s">
        <v>33</v>
      </c>
      <c r="B23" s="6" t="s">
        <v>34</v>
      </c>
      <c r="C23" s="7">
        <v>1.0</v>
      </c>
      <c r="D23" s="37">
        <v>16.0</v>
      </c>
      <c r="E23" s="39">
        <v>5.0</v>
      </c>
      <c r="F23" s="38">
        <f t="shared" si="9"/>
        <v>21</v>
      </c>
      <c r="G23" s="39">
        <f t="shared" si="10"/>
        <v>2.842105263</v>
      </c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>
      <c r="A24" s="6" t="s">
        <v>36</v>
      </c>
      <c r="B24" s="6" t="s">
        <v>37</v>
      </c>
      <c r="C24" s="7">
        <v>1.0</v>
      </c>
      <c r="D24" s="37">
        <v>20.0</v>
      </c>
      <c r="E24" s="42">
        <v>15.5</v>
      </c>
      <c r="F24" s="38">
        <f t="shared" si="9"/>
        <v>35.5</v>
      </c>
      <c r="G24" s="39">
        <f t="shared" si="10"/>
        <v>4.171052632</v>
      </c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>
      <c r="A25" s="6" t="s">
        <v>171</v>
      </c>
      <c r="B25" s="6" t="s">
        <v>172</v>
      </c>
      <c r="C25" s="7">
        <v>2.0</v>
      </c>
      <c r="D25" s="37">
        <v>26.0</v>
      </c>
      <c r="E25" s="39">
        <v>12.5</v>
      </c>
      <c r="F25" s="38">
        <f t="shared" si="9"/>
        <v>38.5</v>
      </c>
      <c r="G25" s="39">
        <f t="shared" si="10"/>
        <v>4.565789474</v>
      </c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>
      <c r="A26" s="6" t="s">
        <v>174</v>
      </c>
      <c r="B26" s="6" t="s">
        <v>175</v>
      </c>
      <c r="C26" s="7">
        <v>2.0</v>
      </c>
      <c r="D26" s="37">
        <v>20.0</v>
      </c>
      <c r="E26" s="39">
        <v>14.5</v>
      </c>
      <c r="F26" s="38">
        <f t="shared" si="9"/>
        <v>34.5</v>
      </c>
      <c r="G26" s="39">
        <f t="shared" si="10"/>
        <v>4.039473684</v>
      </c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>
      <c r="A27" s="6" t="s">
        <v>177</v>
      </c>
      <c r="B27" s="6" t="s">
        <v>178</v>
      </c>
      <c r="C27" s="7">
        <v>2.0</v>
      </c>
      <c r="D27" s="37">
        <v>19.0</v>
      </c>
      <c r="E27" s="39">
        <v>13.0</v>
      </c>
      <c r="F27" s="38">
        <f t="shared" si="9"/>
        <v>32</v>
      </c>
      <c r="G27" s="39">
        <f t="shared" si="10"/>
        <v>3.807017544</v>
      </c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>
      <c r="A28" s="6" t="s">
        <v>180</v>
      </c>
      <c r="B28" s="6" t="s">
        <v>181</v>
      </c>
      <c r="C28" s="7">
        <v>2.0</v>
      </c>
      <c r="D28" s="37">
        <v>11.0</v>
      </c>
      <c r="E28" s="39">
        <v>0.5</v>
      </c>
      <c r="F28" s="38">
        <f t="shared" si="9"/>
        <v>11.5</v>
      </c>
      <c r="G28" s="39">
        <f t="shared" si="10"/>
        <v>2.00877193</v>
      </c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>
      <c r="A29" s="6" t="s">
        <v>39</v>
      </c>
      <c r="B29" s="6" t="s">
        <v>40</v>
      </c>
      <c r="C29" s="7">
        <v>1.0</v>
      </c>
      <c r="D29" s="44"/>
      <c r="E29" s="44"/>
      <c r="F29" s="45"/>
      <c r="G29" s="85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>
      <c r="A30" s="6" t="s">
        <v>183</v>
      </c>
      <c r="B30" s="6" t="s">
        <v>184</v>
      </c>
      <c r="C30" s="7">
        <v>2.0</v>
      </c>
      <c r="D30" s="44"/>
      <c r="E30" s="44"/>
      <c r="F30" s="45"/>
      <c r="G30" s="85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>
      <c r="A31" s="6" t="s">
        <v>186</v>
      </c>
      <c r="B31" s="6" t="s">
        <v>187</v>
      </c>
      <c r="C31" s="7">
        <v>2.0</v>
      </c>
      <c r="D31" s="37">
        <v>23.0</v>
      </c>
      <c r="E31" s="39">
        <v>10.0</v>
      </c>
      <c r="F31" s="38">
        <f t="shared" ref="F31:F33" si="11">SUM(D31:E31)</f>
        <v>33</v>
      </c>
      <c r="G31" s="39">
        <f t="shared" ref="G31:G33" si="12">IF(IF(F31&gt;=$J$4*0.6,3*(((F31/$J$4)*100-60)/(100-60))+4,3*(F31/($J$4*0.6))+1)&gt;7,7,IF(F31&gt;=$J$4*0.6,3*(((F31/$J$4)*100-60)/(100-60))+4,3*(F31/($J$4*0.6))+1))</f>
        <v>3.894736842</v>
      </c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>
      <c r="A32" s="6" t="s">
        <v>189</v>
      </c>
      <c r="B32" s="6" t="s">
        <v>190</v>
      </c>
      <c r="C32" s="7">
        <v>2.0</v>
      </c>
      <c r="D32" s="37">
        <v>22.0</v>
      </c>
      <c r="E32" s="39">
        <v>10.0</v>
      </c>
      <c r="F32" s="38">
        <f t="shared" si="11"/>
        <v>32</v>
      </c>
      <c r="G32" s="39">
        <f t="shared" si="12"/>
        <v>3.807017544</v>
      </c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>
      <c r="A33" s="6" t="s">
        <v>192</v>
      </c>
      <c r="B33" s="6" t="s">
        <v>193</v>
      </c>
      <c r="C33" s="7">
        <v>2.0</v>
      </c>
      <c r="D33" s="37">
        <v>21.0</v>
      </c>
      <c r="E33" s="42">
        <v>13.0</v>
      </c>
      <c r="F33" s="38">
        <f t="shared" si="11"/>
        <v>34</v>
      </c>
      <c r="G33" s="39">
        <f t="shared" si="12"/>
        <v>3.98245614</v>
      </c>
      <c r="H33" s="86">
        <v>1.0</v>
      </c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>
      <c r="A34" s="6" t="s">
        <v>42</v>
      </c>
      <c r="B34" s="6" t="s">
        <v>43</v>
      </c>
      <c r="C34" s="7">
        <v>1.0</v>
      </c>
      <c r="D34" s="44"/>
      <c r="E34" s="44"/>
      <c r="F34" s="45"/>
      <c r="G34" s="85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>
      <c r="A35" s="6" t="s">
        <v>45</v>
      </c>
      <c r="B35" s="6" t="s">
        <v>46</v>
      </c>
      <c r="C35" s="7">
        <v>1.0</v>
      </c>
      <c r="D35" s="44"/>
      <c r="E35" s="44"/>
      <c r="F35" s="45"/>
      <c r="G35" s="85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>
      <c r="A36" s="6" t="s">
        <v>48</v>
      </c>
      <c r="B36" s="6" t="s">
        <v>49</v>
      </c>
      <c r="C36" s="7">
        <v>1.0</v>
      </c>
      <c r="D36" s="37">
        <v>21.0</v>
      </c>
      <c r="E36" s="39">
        <v>8.0</v>
      </c>
      <c r="F36" s="38">
        <f t="shared" ref="F36:F37" si="13">SUM(D36:E36)</f>
        <v>29</v>
      </c>
      <c r="G36" s="39">
        <f t="shared" ref="G36:G37" si="14">IF(IF(F36&gt;=$J$4*0.6,3*(((F36/$J$4)*100-60)/(100-60))+4,3*(F36/($J$4*0.6))+1)&gt;7,7,IF(F36&gt;=$J$4*0.6,3*(((F36/$J$4)*100-60)/(100-60))+4,3*(F36/($J$4*0.6))+1))</f>
        <v>3.543859649</v>
      </c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>
      <c r="A37" s="6" t="s">
        <v>51</v>
      </c>
      <c r="B37" s="6" t="s">
        <v>52</v>
      </c>
      <c r="C37" s="7">
        <v>1.0</v>
      </c>
      <c r="D37" s="37">
        <v>20.0</v>
      </c>
      <c r="E37" s="39">
        <v>10.0</v>
      </c>
      <c r="F37" s="38">
        <f t="shared" si="13"/>
        <v>30</v>
      </c>
      <c r="G37" s="39">
        <f t="shared" si="14"/>
        <v>3.631578947</v>
      </c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>
      <c r="A38" s="6" t="s">
        <v>195</v>
      </c>
      <c r="B38" s="6" t="s">
        <v>196</v>
      </c>
      <c r="C38" s="7">
        <v>2.0</v>
      </c>
      <c r="D38" s="44"/>
      <c r="E38" s="44"/>
      <c r="F38" s="45"/>
      <c r="G38" s="85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>
      <c r="A39" s="6" t="s">
        <v>54</v>
      </c>
      <c r="B39" s="6" t="s">
        <v>55</v>
      </c>
      <c r="C39" s="7">
        <v>1.0</v>
      </c>
      <c r="D39" s="44"/>
      <c r="E39" s="44"/>
      <c r="F39" s="45"/>
      <c r="G39" s="85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>
      <c r="A40" s="6" t="s">
        <v>198</v>
      </c>
      <c r="B40" s="6" t="s">
        <v>199</v>
      </c>
      <c r="C40" s="7">
        <v>2.0</v>
      </c>
      <c r="D40" s="37">
        <v>18.0</v>
      </c>
      <c r="E40" s="39">
        <v>8.5</v>
      </c>
      <c r="F40" s="38">
        <f t="shared" ref="F40:F41" si="15">SUM(D40:E40)</f>
        <v>26.5</v>
      </c>
      <c r="G40" s="39">
        <f t="shared" ref="G40:G41" si="16">IF(IF(F40&gt;=$J$4*0.6,3*(((F40/$J$4)*100-60)/(100-60))+4,3*(F40/($J$4*0.6))+1)&gt;7,7,IF(F40&gt;=$J$4*0.6,3*(((F40/$J$4)*100-60)/(100-60))+4,3*(F40/($J$4*0.6))+1))</f>
        <v>3.324561404</v>
      </c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>
      <c r="A41" s="6" t="s">
        <v>57</v>
      </c>
      <c r="B41" s="6" t="s">
        <v>58</v>
      </c>
      <c r="C41" s="7">
        <v>1.0</v>
      </c>
      <c r="D41" s="37">
        <v>15.0</v>
      </c>
      <c r="E41" s="39">
        <v>6.0</v>
      </c>
      <c r="F41" s="38">
        <f t="shared" si="15"/>
        <v>21</v>
      </c>
      <c r="G41" s="39">
        <f t="shared" si="16"/>
        <v>2.842105263</v>
      </c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>
      <c r="A42" s="6" t="s">
        <v>60</v>
      </c>
      <c r="B42" s="6" t="s">
        <v>61</v>
      </c>
      <c r="C42" s="7">
        <v>1.0</v>
      </c>
      <c r="D42" s="44"/>
      <c r="E42" s="44"/>
      <c r="F42" s="45"/>
      <c r="G42" s="85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>
      <c r="A43" s="6" t="s">
        <v>63</v>
      </c>
      <c r="B43" s="6" t="s">
        <v>64</v>
      </c>
      <c r="C43" s="7">
        <v>1.0</v>
      </c>
      <c r="D43" s="44"/>
      <c r="E43" s="44"/>
      <c r="F43" s="45"/>
      <c r="G43" s="85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>
      <c r="A44" s="6" t="s">
        <v>66</v>
      </c>
      <c r="B44" s="6" t="s">
        <v>67</v>
      </c>
      <c r="C44" s="7">
        <v>1.0</v>
      </c>
      <c r="D44" s="44"/>
      <c r="E44" s="44"/>
      <c r="F44" s="45"/>
      <c r="G44" s="85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>
      <c r="A45" s="6" t="s">
        <v>201</v>
      </c>
      <c r="B45" s="6" t="s">
        <v>202</v>
      </c>
      <c r="C45" s="7">
        <v>2.0</v>
      </c>
      <c r="D45" s="37">
        <v>17.0</v>
      </c>
      <c r="E45" s="39">
        <v>8.0</v>
      </c>
      <c r="F45" s="38">
        <f t="shared" ref="F45:F48" si="17">SUM(D45:E45)</f>
        <v>25</v>
      </c>
      <c r="G45" s="39">
        <f t="shared" ref="G45:G48" si="18">IF(IF(F45&gt;=$J$4*0.6,3*(((F45/$J$4)*100-60)/(100-60))+4,3*(F45/($J$4*0.6))+1)&gt;7,7,IF(F45&gt;=$J$4*0.6,3*(((F45/$J$4)*100-60)/(100-60))+4,3*(F45/($J$4*0.6))+1))</f>
        <v>3.192982456</v>
      </c>
      <c r="H45" s="86">
        <v>1.0</v>
      </c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>
      <c r="A46" s="6" t="s">
        <v>69</v>
      </c>
      <c r="B46" s="6" t="s">
        <v>70</v>
      </c>
      <c r="C46" s="7">
        <v>1.0</v>
      </c>
      <c r="D46" s="37">
        <v>19.0</v>
      </c>
      <c r="E46" s="42">
        <v>9.5</v>
      </c>
      <c r="F46" s="38">
        <f t="shared" si="17"/>
        <v>28.5</v>
      </c>
      <c r="G46" s="39">
        <f t="shared" si="18"/>
        <v>3.5</v>
      </c>
      <c r="H46" s="86">
        <v>1.0</v>
      </c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>
      <c r="A47" s="6" t="s">
        <v>204</v>
      </c>
      <c r="B47" s="6" t="s">
        <v>205</v>
      </c>
      <c r="C47" s="7">
        <v>2.0</v>
      </c>
      <c r="D47" s="37">
        <v>23.0</v>
      </c>
      <c r="E47" s="39">
        <v>12.0</v>
      </c>
      <c r="F47" s="38">
        <f t="shared" si="17"/>
        <v>35</v>
      </c>
      <c r="G47" s="39">
        <f t="shared" si="18"/>
        <v>4.105263158</v>
      </c>
      <c r="H47" s="86">
        <v>1.0</v>
      </c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>
      <c r="A48" s="6" t="s">
        <v>207</v>
      </c>
      <c r="B48" s="6" t="s">
        <v>208</v>
      </c>
      <c r="C48" s="7">
        <v>2.0</v>
      </c>
      <c r="D48" s="37">
        <v>24.0</v>
      </c>
      <c r="E48" s="39">
        <v>10.5</v>
      </c>
      <c r="F48" s="38">
        <f t="shared" si="17"/>
        <v>34.5</v>
      </c>
      <c r="G48" s="39">
        <f t="shared" si="18"/>
        <v>4.039473684</v>
      </c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>
      <c r="A49" s="6" t="s">
        <v>72</v>
      </c>
      <c r="B49" s="6" t="s">
        <v>73</v>
      </c>
      <c r="C49" s="7">
        <v>1.0</v>
      </c>
      <c r="D49" s="44"/>
      <c r="E49" s="44"/>
      <c r="F49" s="45"/>
      <c r="G49" s="85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>
      <c r="A50" s="6" t="s">
        <v>210</v>
      </c>
      <c r="B50" s="6" t="s">
        <v>211</v>
      </c>
      <c r="C50" s="7">
        <v>2.0</v>
      </c>
      <c r="D50" s="37">
        <v>20.0</v>
      </c>
      <c r="E50" s="39">
        <v>8.5</v>
      </c>
      <c r="F50" s="38">
        <f>SUM(D50:E50)</f>
        <v>28.5</v>
      </c>
      <c r="G50" s="39">
        <f>IF(IF(F50&gt;=$J$4*0.6,3*(((F50/$J$4)*100-60)/(100-60))+4,3*(F50/($J$4*0.6))+1)&gt;7,7,IF(F50&gt;=$J$4*0.6,3*(((F50/$J$4)*100-60)/(100-60))+4,3*(F50/($J$4*0.6))+1))</f>
        <v>3.5</v>
      </c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>
      <c r="A51" s="6" t="s">
        <v>75</v>
      </c>
      <c r="B51" s="6" t="s">
        <v>76</v>
      </c>
      <c r="C51" s="7">
        <v>1.0</v>
      </c>
      <c r="D51" s="44"/>
      <c r="E51" s="44"/>
      <c r="F51" s="45"/>
      <c r="G51" s="85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>
      <c r="A52" s="6" t="s">
        <v>213</v>
      </c>
      <c r="B52" s="6" t="s">
        <v>214</v>
      </c>
      <c r="C52" s="7">
        <v>2.0</v>
      </c>
      <c r="D52" s="44"/>
      <c r="E52" s="44"/>
      <c r="F52" s="45"/>
      <c r="G52" s="85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>
      <c r="A53" s="6" t="s">
        <v>78</v>
      </c>
      <c r="B53" s="6" t="s">
        <v>79</v>
      </c>
      <c r="C53" s="7">
        <v>1.0</v>
      </c>
      <c r="D53" s="37">
        <v>18.0</v>
      </c>
      <c r="E53" s="39">
        <v>9.0</v>
      </c>
      <c r="F53" s="38">
        <f t="shared" ref="F53:F54" si="19">SUM(D53:E53)</f>
        <v>27</v>
      </c>
      <c r="G53" s="39">
        <f t="shared" ref="G53:G54" si="20">IF(IF(F53&gt;=$J$4*0.6,3*(((F53/$J$4)*100-60)/(100-60))+4,3*(F53/($J$4*0.6))+1)&gt;7,7,IF(F53&gt;=$J$4*0.6,3*(((F53/$J$4)*100-60)/(100-60))+4,3*(F53/($J$4*0.6))+1))</f>
        <v>3.368421053</v>
      </c>
      <c r="H53" s="86">
        <v>1.0</v>
      </c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>
      <c r="A54" s="6" t="s">
        <v>81</v>
      </c>
      <c r="B54" s="6" t="s">
        <v>82</v>
      </c>
      <c r="C54" s="7">
        <v>1.0</v>
      </c>
      <c r="D54" s="37">
        <v>26.0</v>
      </c>
      <c r="E54" s="39">
        <v>13.0</v>
      </c>
      <c r="F54" s="38">
        <f t="shared" si="19"/>
        <v>39</v>
      </c>
      <c r="G54" s="39">
        <f t="shared" si="20"/>
        <v>4.631578947</v>
      </c>
      <c r="H54" s="86">
        <v>1.0</v>
      </c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>
      <c r="A55" s="6" t="s">
        <v>84</v>
      </c>
      <c r="B55" s="6" t="s">
        <v>85</v>
      </c>
      <c r="C55" s="7">
        <v>1.0</v>
      </c>
      <c r="D55" s="44"/>
      <c r="E55" s="44"/>
      <c r="F55" s="45"/>
      <c r="G55" s="85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>
      <c r="A56" s="6" t="s">
        <v>87</v>
      </c>
      <c r="B56" s="6" t="s">
        <v>88</v>
      </c>
      <c r="C56" s="7">
        <v>1.0</v>
      </c>
      <c r="D56" s="37">
        <v>28.0</v>
      </c>
      <c r="E56" s="39">
        <v>7.0</v>
      </c>
      <c r="F56" s="38">
        <f t="shared" ref="F56:F58" si="21">SUM(D56:E56)</f>
        <v>35</v>
      </c>
      <c r="G56" s="39">
        <f t="shared" ref="G56:G58" si="22">IF(IF(F56&gt;=$J$4*0.6,3*(((F56/$J$4)*100-60)/(100-60))+4,3*(F56/($J$4*0.6))+1)&gt;7,7,IF(F56&gt;=$J$4*0.6,3*(((F56/$J$4)*100-60)/(100-60))+4,3*(F56/($J$4*0.6))+1))</f>
        <v>4.105263158</v>
      </c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>
      <c r="A57" s="6" t="s">
        <v>90</v>
      </c>
      <c r="B57" s="6" t="s">
        <v>91</v>
      </c>
      <c r="C57" s="7">
        <v>1.0</v>
      </c>
      <c r="D57" s="37">
        <v>21.0</v>
      </c>
      <c r="E57" s="39">
        <v>11.5</v>
      </c>
      <c r="F57" s="38">
        <f t="shared" si="21"/>
        <v>32.5</v>
      </c>
      <c r="G57" s="39">
        <f t="shared" si="22"/>
        <v>3.850877193</v>
      </c>
      <c r="H57" s="86">
        <v>1.0</v>
      </c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>
      <c r="A58" s="6" t="s">
        <v>93</v>
      </c>
      <c r="B58" s="6" t="s">
        <v>94</v>
      </c>
      <c r="C58" s="7">
        <v>1.0</v>
      </c>
      <c r="D58" s="37">
        <v>22.0</v>
      </c>
      <c r="E58" s="39">
        <v>12.5</v>
      </c>
      <c r="F58" s="38">
        <f t="shared" si="21"/>
        <v>34.5</v>
      </c>
      <c r="G58" s="39">
        <f t="shared" si="22"/>
        <v>4.039473684</v>
      </c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>
      <c r="A59" s="6" t="s">
        <v>96</v>
      </c>
      <c r="B59" s="6" t="s">
        <v>97</v>
      </c>
      <c r="C59" s="7">
        <v>1.0</v>
      </c>
      <c r="D59" s="44"/>
      <c r="E59" s="44"/>
      <c r="F59" s="45"/>
      <c r="G59" s="85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>
      <c r="A60" s="6" t="s">
        <v>216</v>
      </c>
      <c r="B60" s="6" t="s">
        <v>217</v>
      </c>
      <c r="C60" s="7">
        <v>2.0</v>
      </c>
      <c r="D60" s="37">
        <v>18.0</v>
      </c>
      <c r="E60" s="42">
        <v>6.5</v>
      </c>
      <c r="F60" s="38">
        <f t="shared" ref="F60:F65" si="23">SUM(D60:E60)</f>
        <v>24.5</v>
      </c>
      <c r="G60" s="39">
        <f t="shared" ref="G60:G65" si="24">IF(IF(F60&gt;=$J$4*0.6,3*(((F60/$J$4)*100-60)/(100-60))+4,3*(F60/($J$4*0.6))+1)&gt;7,7,IF(F60&gt;=$J$4*0.6,3*(((F60/$J$4)*100-60)/(100-60))+4,3*(F60/($J$4*0.6))+1))</f>
        <v>3.149122807</v>
      </c>
      <c r="H60" s="86">
        <v>1.0</v>
      </c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>
      <c r="A61" s="6" t="s">
        <v>219</v>
      </c>
      <c r="B61" s="6" t="s">
        <v>220</v>
      </c>
      <c r="C61" s="7">
        <v>2.0</v>
      </c>
      <c r="D61" s="42">
        <v>17.0</v>
      </c>
      <c r="E61" s="42">
        <v>20.0</v>
      </c>
      <c r="F61" s="39">
        <f t="shared" si="23"/>
        <v>37</v>
      </c>
      <c r="G61" s="39">
        <f t="shared" si="24"/>
        <v>4.368421053</v>
      </c>
      <c r="H61" s="86">
        <v>1.0</v>
      </c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>
      <c r="A62" s="6" t="s">
        <v>222</v>
      </c>
      <c r="B62" s="6" t="s">
        <v>223</v>
      </c>
      <c r="C62" s="7">
        <v>2.0</v>
      </c>
      <c r="D62" s="37">
        <v>26.0</v>
      </c>
      <c r="E62" s="39">
        <v>6.0</v>
      </c>
      <c r="F62" s="38">
        <f t="shared" si="23"/>
        <v>32</v>
      </c>
      <c r="G62" s="39">
        <f t="shared" si="24"/>
        <v>3.807017544</v>
      </c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>
      <c r="A63" s="6" t="s">
        <v>99</v>
      </c>
      <c r="B63" s="6" t="s">
        <v>100</v>
      </c>
      <c r="C63" s="7">
        <v>1.0</v>
      </c>
      <c r="D63" s="37">
        <v>13.0</v>
      </c>
      <c r="E63" s="42">
        <v>13.0</v>
      </c>
      <c r="F63" s="38">
        <f t="shared" si="23"/>
        <v>26</v>
      </c>
      <c r="G63" s="39">
        <f t="shared" si="24"/>
        <v>3.280701754</v>
      </c>
      <c r="H63" s="86">
        <v>1.0</v>
      </c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>
      <c r="A64" s="6" t="s">
        <v>225</v>
      </c>
      <c r="B64" s="6" t="s">
        <v>226</v>
      </c>
      <c r="C64" s="7">
        <v>2.0</v>
      </c>
      <c r="D64" s="37">
        <v>17.0</v>
      </c>
      <c r="E64" s="39">
        <v>13.0</v>
      </c>
      <c r="F64" s="38">
        <f t="shared" si="23"/>
        <v>30</v>
      </c>
      <c r="G64" s="39">
        <f t="shared" si="24"/>
        <v>3.631578947</v>
      </c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>
      <c r="A65" s="6" t="s">
        <v>102</v>
      </c>
      <c r="B65" s="6" t="s">
        <v>103</v>
      </c>
      <c r="C65" s="7">
        <v>1.0</v>
      </c>
      <c r="D65" s="37">
        <v>18.0</v>
      </c>
      <c r="E65" s="39">
        <v>12.0</v>
      </c>
      <c r="F65" s="38">
        <f t="shared" si="23"/>
        <v>30</v>
      </c>
      <c r="G65" s="39">
        <f t="shared" si="24"/>
        <v>3.631578947</v>
      </c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>
      <c r="A66" s="6" t="s">
        <v>105</v>
      </c>
      <c r="B66" s="6" t="s">
        <v>106</v>
      </c>
      <c r="C66" s="7">
        <v>1.0</v>
      </c>
      <c r="D66" s="44"/>
      <c r="E66" s="44"/>
      <c r="F66" s="45"/>
      <c r="G66" s="85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>
      <c r="A67" s="6" t="s">
        <v>228</v>
      </c>
      <c r="B67" s="6" t="s">
        <v>229</v>
      </c>
      <c r="C67" s="7">
        <v>2.0</v>
      </c>
      <c r="D67" s="37">
        <v>26.0</v>
      </c>
      <c r="E67" s="42">
        <v>14.0</v>
      </c>
      <c r="F67" s="38">
        <f t="shared" ref="F67:F81" si="25">SUM(D67:E67)</f>
        <v>40</v>
      </c>
      <c r="G67" s="39">
        <f t="shared" ref="G67:G81" si="26">IF(IF(F67&gt;=$J$4*0.6,3*(((F67/$J$4)*100-60)/(100-60))+4,3*(F67/($J$4*0.6))+1)&gt;7,7,IF(F67&gt;=$J$4*0.6,3*(((F67/$J$4)*100-60)/(100-60))+4,3*(F67/($J$4*0.6))+1))</f>
        <v>4.763157895</v>
      </c>
      <c r="H67" s="86">
        <v>1.0</v>
      </c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>
      <c r="A68" s="6" t="s">
        <v>108</v>
      </c>
      <c r="B68" s="6" t="s">
        <v>109</v>
      </c>
      <c r="C68" s="7">
        <v>1.0</v>
      </c>
      <c r="D68" s="37">
        <v>20.0</v>
      </c>
      <c r="E68" s="39">
        <v>15.5</v>
      </c>
      <c r="F68" s="38">
        <f t="shared" si="25"/>
        <v>35.5</v>
      </c>
      <c r="G68" s="39">
        <f t="shared" si="26"/>
        <v>4.171052632</v>
      </c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>
      <c r="A69" s="6" t="s">
        <v>231</v>
      </c>
      <c r="B69" s="6" t="s">
        <v>232</v>
      </c>
      <c r="C69" s="7">
        <v>2.0</v>
      </c>
      <c r="D69" s="37">
        <v>20.0</v>
      </c>
      <c r="E69" s="39">
        <v>15.0</v>
      </c>
      <c r="F69" s="38">
        <f t="shared" si="25"/>
        <v>35</v>
      </c>
      <c r="G69" s="39">
        <f t="shared" si="26"/>
        <v>4.105263158</v>
      </c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>
      <c r="A70" s="6" t="s">
        <v>111</v>
      </c>
      <c r="B70" s="6" t="s">
        <v>112</v>
      </c>
      <c r="C70" s="7">
        <v>1.0</v>
      </c>
      <c r="D70" s="37">
        <v>20.0</v>
      </c>
      <c r="E70" s="42">
        <v>12.5</v>
      </c>
      <c r="F70" s="38">
        <f t="shared" si="25"/>
        <v>32.5</v>
      </c>
      <c r="G70" s="39">
        <f t="shared" si="26"/>
        <v>3.850877193</v>
      </c>
      <c r="H70" s="86">
        <v>1.0</v>
      </c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>
      <c r="A71" s="6" t="s">
        <v>114</v>
      </c>
      <c r="B71" s="6" t="s">
        <v>115</v>
      </c>
      <c r="C71" s="7">
        <v>1.0</v>
      </c>
      <c r="D71" s="37">
        <v>22.0</v>
      </c>
      <c r="E71" s="39">
        <v>4.5</v>
      </c>
      <c r="F71" s="38">
        <f t="shared" si="25"/>
        <v>26.5</v>
      </c>
      <c r="G71" s="39">
        <f t="shared" si="26"/>
        <v>3.324561404</v>
      </c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>
      <c r="A72" s="6" t="s">
        <v>117</v>
      </c>
      <c r="B72" s="6" t="s">
        <v>118</v>
      </c>
      <c r="C72" s="7">
        <v>1.0</v>
      </c>
      <c r="D72" s="37">
        <v>14.0</v>
      </c>
      <c r="E72" s="39">
        <v>5.0</v>
      </c>
      <c r="F72" s="38">
        <f t="shared" si="25"/>
        <v>19</v>
      </c>
      <c r="G72" s="39">
        <f t="shared" si="26"/>
        <v>2.666666667</v>
      </c>
      <c r="H72" s="86">
        <v>1.0</v>
      </c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>
      <c r="A73" s="6" t="s">
        <v>234</v>
      </c>
      <c r="B73" s="6" t="s">
        <v>235</v>
      </c>
      <c r="C73" s="7">
        <v>2.0</v>
      </c>
      <c r="D73" s="37">
        <v>21.0</v>
      </c>
      <c r="E73" s="39">
        <v>12.0</v>
      </c>
      <c r="F73" s="38">
        <f t="shared" si="25"/>
        <v>33</v>
      </c>
      <c r="G73" s="39">
        <f t="shared" si="26"/>
        <v>3.894736842</v>
      </c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>
      <c r="A74" s="6" t="s">
        <v>120</v>
      </c>
      <c r="B74" s="6" t="s">
        <v>121</v>
      </c>
      <c r="C74" s="7">
        <v>1.0</v>
      </c>
      <c r="D74" s="37">
        <v>14.0</v>
      </c>
      <c r="E74" s="39">
        <v>5.0</v>
      </c>
      <c r="F74" s="38">
        <f t="shared" si="25"/>
        <v>19</v>
      </c>
      <c r="G74" s="39">
        <f t="shared" si="26"/>
        <v>2.666666667</v>
      </c>
      <c r="H74" s="86">
        <v>1.0</v>
      </c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>
      <c r="A75" s="6" t="s">
        <v>123</v>
      </c>
      <c r="B75" s="6" t="s">
        <v>124</v>
      </c>
      <c r="C75" s="7">
        <v>1.0</v>
      </c>
      <c r="D75" s="37">
        <v>22.0</v>
      </c>
      <c r="E75" s="42">
        <v>14.0</v>
      </c>
      <c r="F75" s="38">
        <f t="shared" si="25"/>
        <v>36</v>
      </c>
      <c r="G75" s="39">
        <f t="shared" si="26"/>
        <v>4.236842105</v>
      </c>
      <c r="H75" s="86">
        <v>1.0</v>
      </c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>
      <c r="A76" s="6" t="s">
        <v>126</v>
      </c>
      <c r="B76" s="6" t="s">
        <v>127</v>
      </c>
      <c r="C76" s="7">
        <v>1.0</v>
      </c>
      <c r="D76" s="37">
        <v>22.0</v>
      </c>
      <c r="E76" s="39">
        <v>14.0</v>
      </c>
      <c r="F76" s="38">
        <f t="shared" si="25"/>
        <v>36</v>
      </c>
      <c r="G76" s="39">
        <f t="shared" si="26"/>
        <v>4.236842105</v>
      </c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>
      <c r="A77" s="6" t="s">
        <v>237</v>
      </c>
      <c r="B77" s="6" t="s">
        <v>238</v>
      </c>
      <c r="C77" s="7">
        <v>2.0</v>
      </c>
      <c r="D77" s="37">
        <v>20.0</v>
      </c>
      <c r="E77" s="39">
        <v>13.0</v>
      </c>
      <c r="F77" s="38">
        <f t="shared" si="25"/>
        <v>33</v>
      </c>
      <c r="G77" s="39">
        <f t="shared" si="26"/>
        <v>3.894736842</v>
      </c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>
      <c r="A78" s="6" t="s">
        <v>129</v>
      </c>
      <c r="B78" s="6" t="s">
        <v>130</v>
      </c>
      <c r="C78" s="7">
        <v>1.0</v>
      </c>
      <c r="D78" s="37">
        <v>20.0</v>
      </c>
      <c r="E78" s="39">
        <v>7.0</v>
      </c>
      <c r="F78" s="38">
        <f t="shared" si="25"/>
        <v>27</v>
      </c>
      <c r="G78" s="39">
        <f t="shared" si="26"/>
        <v>3.368421053</v>
      </c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>
      <c r="A79" s="6" t="s">
        <v>132</v>
      </c>
      <c r="B79" s="6" t="s">
        <v>133</v>
      </c>
      <c r="C79" s="7">
        <v>1.0</v>
      </c>
      <c r="D79" s="37">
        <v>24.0</v>
      </c>
      <c r="E79" s="39">
        <v>12.0</v>
      </c>
      <c r="F79" s="38">
        <f t="shared" si="25"/>
        <v>36</v>
      </c>
      <c r="G79" s="39">
        <f t="shared" si="26"/>
        <v>4.236842105</v>
      </c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>
      <c r="A80" s="6" t="s">
        <v>240</v>
      </c>
      <c r="B80" s="6" t="s">
        <v>241</v>
      </c>
      <c r="C80" s="7">
        <v>2.0</v>
      </c>
      <c r="D80" s="37">
        <v>15.0</v>
      </c>
      <c r="E80" s="39">
        <v>9.0</v>
      </c>
      <c r="F80" s="38">
        <f t="shared" si="25"/>
        <v>24</v>
      </c>
      <c r="G80" s="39">
        <f t="shared" si="26"/>
        <v>3.105263158</v>
      </c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>
      <c r="A81" s="6" t="s">
        <v>243</v>
      </c>
      <c r="B81" s="6" t="s">
        <v>244</v>
      </c>
      <c r="C81" s="7">
        <v>2.0</v>
      </c>
      <c r="D81" s="37">
        <v>19.0</v>
      </c>
      <c r="E81" s="39">
        <v>10.0</v>
      </c>
      <c r="F81" s="38">
        <f t="shared" si="25"/>
        <v>29</v>
      </c>
      <c r="G81" s="39">
        <f t="shared" si="26"/>
        <v>3.543859649</v>
      </c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</sheetData>
  <autoFilter ref="$A$1:$J$81"/>
  <conditionalFormatting sqref="G2:G81">
    <cfRule type="cellIs" dxfId="4" priority="1" operator="lessThan">
      <formula>3.95</formula>
    </cfRule>
  </conditionalFormatting>
  <drawing r:id="rId1"/>
</worksheet>
</file>